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13_ncr:1_{6C7260C9-15B2-48E8-8623-CB6F6705E0BD}" xr6:coauthVersionLast="47" xr6:coauthVersionMax="47" xr10:uidLastSave="{00000000-0000-0000-0000-000000000000}"/>
  <bookViews>
    <workbookView xWindow="-120" yWindow="-120" windowWidth="29040" windowHeight="15720" xr2:uid="{799D362C-0DD6-4781-BDF6-BDEBEB25BB9F}"/>
  </bookViews>
  <sheets>
    <sheet name="Raw_Data" sheetId="1" r:id="rId1"/>
    <sheet name="Pivot_Tables" sheetId="3" r:id="rId2"/>
    <sheet name="Dasboard" sheetId="4" r:id="rId3"/>
    <sheet name="Formula_Sheet" sheetId="5" r:id="rId4"/>
  </sheets>
  <definedNames>
    <definedName name="HR_Data">Table3[]</definedName>
    <definedName name="HRData">Table3[]</definedName>
  </definedName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K2" i="4"/>
  <c r="H2" i="4"/>
  <c r="B2" i="4"/>
  <c r="B12" i="5"/>
  <c r="B5" i="5"/>
  <c r="B11" i="5"/>
  <c r="B10" i="5"/>
  <c r="B4" i="5"/>
  <c r="B3" i="5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</calcChain>
</file>

<file path=xl/sharedStrings.xml><?xml version="1.0" encoding="utf-8"?>
<sst xmlns="http://schemas.openxmlformats.org/spreadsheetml/2006/main" count="3569" uniqueCount="592">
  <si>
    <t>Emp_ID</t>
  </si>
  <si>
    <t>Name</t>
  </si>
  <si>
    <t>Gender</t>
  </si>
  <si>
    <t>Age</t>
  </si>
  <si>
    <t>Department</t>
  </si>
  <si>
    <t>Job_Role</t>
  </si>
  <si>
    <t>Salary</t>
  </si>
  <si>
    <t>Experience</t>
  </si>
  <si>
    <t>Joining_Date</t>
  </si>
  <si>
    <t>Performance</t>
  </si>
  <si>
    <t>Attrition</t>
  </si>
  <si>
    <t>Location</t>
  </si>
  <si>
    <t>E001</t>
  </si>
  <si>
    <t>Divya</t>
  </si>
  <si>
    <t>Female</t>
  </si>
  <si>
    <t>IT</t>
  </si>
  <si>
    <t>Data Analyst</t>
  </si>
  <si>
    <t>No</t>
  </si>
  <si>
    <t>Chennai</t>
  </si>
  <si>
    <t>E002</t>
  </si>
  <si>
    <t>Vikram</t>
  </si>
  <si>
    <t>Male</t>
  </si>
  <si>
    <t>E003</t>
  </si>
  <si>
    <t>Kavya</t>
  </si>
  <si>
    <t>Finance</t>
  </si>
  <si>
    <t>Accountant</t>
  </si>
  <si>
    <t>E004</t>
  </si>
  <si>
    <t>Sana</t>
  </si>
  <si>
    <t>Support Engineer</t>
  </si>
  <si>
    <t>E005</t>
  </si>
  <si>
    <t>QA Analyst</t>
  </si>
  <si>
    <t>Hyderabad</t>
  </si>
  <si>
    <t>E006</t>
  </si>
  <si>
    <t>Karan</t>
  </si>
  <si>
    <t>HR</t>
  </si>
  <si>
    <t>HR Executive</t>
  </si>
  <si>
    <t>Mumbai</t>
  </si>
  <si>
    <t>E007</t>
  </si>
  <si>
    <t>Ayesha</t>
  </si>
  <si>
    <t>Delhi</t>
  </si>
  <si>
    <t>E008</t>
  </si>
  <si>
    <t>HR Associate</t>
  </si>
  <si>
    <t>Yes</t>
  </si>
  <si>
    <t>Pune</t>
  </si>
  <si>
    <t>E009</t>
  </si>
  <si>
    <t>Sameer</t>
  </si>
  <si>
    <t>Financial Analyst</t>
  </si>
  <si>
    <t>E010</t>
  </si>
  <si>
    <t>Anjali</t>
  </si>
  <si>
    <t>Senior Accountant</t>
  </si>
  <si>
    <t>Bangalore</t>
  </si>
  <si>
    <t>E011</t>
  </si>
  <si>
    <t>HR Manager</t>
  </si>
  <si>
    <t>E012</t>
  </si>
  <si>
    <t>Rohan</t>
  </si>
  <si>
    <t>E013</t>
  </si>
  <si>
    <t>Meena</t>
  </si>
  <si>
    <t>E014</t>
  </si>
  <si>
    <t>Pooja</t>
  </si>
  <si>
    <t>E015</t>
  </si>
  <si>
    <t>Amit</t>
  </si>
  <si>
    <t>E016</t>
  </si>
  <si>
    <t>E017</t>
  </si>
  <si>
    <t>Sneha</t>
  </si>
  <si>
    <t>E018</t>
  </si>
  <si>
    <t>E019</t>
  </si>
  <si>
    <t>Tarun</t>
  </si>
  <si>
    <t>Sales</t>
  </si>
  <si>
    <t>Inside Sales</t>
  </si>
  <si>
    <t>E020</t>
  </si>
  <si>
    <t>E021</t>
  </si>
  <si>
    <t>Python Developer</t>
  </si>
  <si>
    <t>E022</t>
  </si>
  <si>
    <t>E023</t>
  </si>
  <si>
    <t>Talent Acquisition</t>
  </si>
  <si>
    <t>E024</t>
  </si>
  <si>
    <t>Regional Manager</t>
  </si>
  <si>
    <t>E025</t>
  </si>
  <si>
    <t>Priya</t>
  </si>
  <si>
    <t>E026</t>
  </si>
  <si>
    <t>BI Developer</t>
  </si>
  <si>
    <t>E027</t>
  </si>
  <si>
    <t>E028</t>
  </si>
  <si>
    <t>E029</t>
  </si>
  <si>
    <t>E030</t>
  </si>
  <si>
    <t>E031</t>
  </si>
  <si>
    <t>E032</t>
  </si>
  <si>
    <t>E033</t>
  </si>
  <si>
    <t>Arjun</t>
  </si>
  <si>
    <t>E034</t>
  </si>
  <si>
    <t>E035</t>
  </si>
  <si>
    <t>Neha</t>
  </si>
  <si>
    <t>E036</t>
  </si>
  <si>
    <t>E037</t>
  </si>
  <si>
    <t>E038</t>
  </si>
  <si>
    <t>E039</t>
  </si>
  <si>
    <t>E040</t>
  </si>
  <si>
    <t>Sales Executive</t>
  </si>
  <si>
    <t>E041</t>
  </si>
  <si>
    <t>E042</t>
  </si>
  <si>
    <t>E043</t>
  </si>
  <si>
    <t>Imran</t>
  </si>
  <si>
    <t>E044</t>
  </si>
  <si>
    <t>E045</t>
  </si>
  <si>
    <t>E046</t>
  </si>
  <si>
    <t>E047</t>
  </si>
  <si>
    <t>E048</t>
  </si>
  <si>
    <t>E049</t>
  </si>
  <si>
    <t>E050</t>
  </si>
  <si>
    <t>E051</t>
  </si>
  <si>
    <t>Account Manager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</si>
  <si>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</si>
  <si>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</si>
  <si>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</si>
  <si>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</si>
  <si>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</si>
  <si>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</si>
  <si>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</si>
  <si>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</si>
  <si>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</si>
  <si>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</si>
  <si>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</si>
  <si>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</si>
  <si>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</si>
  <si>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Auditor</t>
  </si>
  <si>
    <t>E065</t>
  </si>
  <si>
    <t>Rahul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</si>
  <si>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</si>
  <si>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</si>
  <si>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</si>
  <si>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</si>
  <si>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</si>
  <si>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</si>
  <si>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</si>
  <si>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</si>
  <si>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</si>
  <si>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</si>
  <si>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</si>
  <si>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</si>
  <si>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</si>
  <si>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</si>
  <si>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</si>
  <si>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</si>
  <si>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</si>
  <si>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</si>
  <si>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</si>
  <si>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</si>
  <si>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</si>
  <si>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</si>
  <si>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</si>
  <si>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</si>
  <si>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</si>
  <si>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</si>
  <si>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</si>
  <si>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</si>
  <si>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</si>
  <si>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</si>
  <si>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</si>
  <si>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</si>
  <si>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</si>
  <si>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</si>
  <si>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</si>
  <si>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</si>
  <si>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</si>
  <si>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</si>
  <si>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</si>
  <si>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</si>
  <si>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</si>
  <si>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</si>
  <si>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</si>
  <si>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</si>
  <si>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</si>
  <si>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</si>
  <si>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</si>
  <si>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</si>
  <si>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</si>
  <si>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</si>
  <si>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</si>
  <si>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</si>
  <si>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</si>
  <si>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</si>
  <si>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</si>
  <si>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</si>
  <si>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</si>
  <si>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</si>
  <si>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</si>
  <si>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</si>
  <si>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</si>
  <si>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</si>
  <si>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</si>
  <si>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</si>
  <si>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</si>
  <si>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</si>
  <si>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</si>
  <si>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</si>
  <si>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</si>
  <si>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</si>
  <si>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</si>
  <si>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</si>
  <si>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Nikhil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</si>
  <si>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</si>
  <si>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</si>
  <si>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</si>
  <si>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</si>
  <si>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</si>
  <si>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</si>
  <si>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</si>
  <si>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</si>
  <si>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</si>
  <si>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</si>
  <si>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</si>
  <si>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</si>
  <si>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</si>
  <si>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</si>
  <si>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</si>
  <si>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</si>
  <si>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</si>
  <si>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</si>
  <si>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</si>
  <si>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</si>
  <si>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</si>
  <si>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</si>
  <si>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</si>
  <si>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</si>
  <si>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</si>
  <si>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</si>
  <si>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</si>
  <si>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</si>
  <si>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</si>
  <si>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</si>
  <si>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</si>
  <si>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</si>
  <si>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</si>
  <si>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</si>
  <si>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</si>
  <si>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</si>
  <si>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</si>
  <si>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</si>
  <si>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</si>
  <si>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</si>
  <si>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</si>
  <si>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</si>
  <si>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</si>
  <si>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</si>
  <si>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</si>
  <si>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</si>
  <si>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</si>
  <si>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</si>
  <si>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</si>
  <si>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</si>
  <si>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</si>
  <si>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</si>
  <si>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</si>
  <si>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</si>
  <si>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</si>
  <si>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</si>
  <si>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</si>
  <si>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</si>
  <si>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</si>
  <si>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</si>
  <si>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</si>
  <si>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</si>
  <si>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</si>
  <si>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</si>
  <si>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</si>
  <si>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</si>
  <si>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</si>
  <si>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</si>
  <si>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</si>
  <si>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</si>
  <si>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</si>
  <si>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</si>
  <si>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</si>
  <si>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</si>
  <si>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</si>
  <si>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</si>
  <si>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</si>
  <si>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</si>
  <si>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</si>
  <si>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</si>
  <si>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</si>
  <si>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</si>
  <si>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</si>
  <si>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</si>
  <si>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</si>
  <si>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</si>
  <si>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</si>
  <si>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</si>
  <si>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</si>
  <si>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</si>
  <si>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</si>
  <si>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</si>
  <si>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</si>
  <si>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</si>
  <si>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</si>
  <si>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</si>
  <si>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</si>
  <si>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</si>
  <si>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</si>
  <si>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</si>
  <si>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</si>
  <si>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</si>
  <si>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</si>
  <si>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</si>
  <si>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</si>
  <si>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</si>
  <si>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</si>
  <si>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</si>
  <si>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</si>
  <si>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</si>
  <si>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</si>
  <si>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</si>
  <si>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</si>
  <si>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</si>
  <si>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</si>
  <si>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</si>
  <si>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</si>
  <si>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</si>
  <si>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</si>
  <si>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</si>
  <si>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</si>
  <si>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</si>
  <si>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</si>
  <si>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</si>
  <si>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</si>
  <si>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</si>
  <si>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</si>
  <si>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</si>
  <si>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</si>
  <si>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</si>
  <si>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</si>
  <si>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</si>
  <si>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</si>
  <si>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</si>
  <si>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</si>
  <si>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</si>
  <si>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</si>
  <si>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</si>
  <si>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</si>
  <si>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</si>
  <si>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</si>
  <si>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</si>
  <si>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</si>
  <si>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</si>
  <si>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</si>
  <si>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</si>
  <si>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</si>
  <si>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</si>
  <si>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</si>
  <si>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</si>
  <si>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</si>
  <si>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</si>
  <si>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</si>
  <si>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</si>
  <si>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</si>
  <si>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</si>
  <si>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</si>
  <si>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</si>
  <si>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</si>
  <si>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</si>
  <si>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</si>
  <si>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</si>
  <si>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</si>
  <si>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</si>
  <si>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</si>
  <si>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</si>
  <si>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</si>
  <si>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</si>
  <si>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</si>
  <si>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</si>
  <si>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</si>
  <si>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</si>
  <si>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</si>
  <si>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</si>
  <si>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</si>
  <si>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</si>
  <si>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</si>
  <si>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</si>
  <si>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</si>
  <si>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</si>
  <si>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</si>
  <si>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</si>
  <si>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</si>
  <si>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</si>
  <si>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</si>
  <si>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</si>
  <si>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</si>
  <si>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</si>
  <si>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</si>
  <si>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</si>
  <si>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</si>
  <si>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</si>
  <si>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</si>
  <si>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</si>
  <si>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</si>
  <si>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</si>
  <si>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</si>
  <si>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</si>
  <si>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</si>
  <si>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</si>
  <si>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</si>
  <si>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</si>
  <si>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</si>
  <si>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</si>
  <si>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</si>
  <si>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</si>
  <si>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</si>
  <si>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</si>
  <si>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</si>
  <si>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</si>
  <si>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</si>
  <si>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</si>
  <si>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</si>
  <si>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</si>
  <si>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</si>
  <si>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</si>
  <si>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</si>
  <si>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</si>
  <si>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</si>
  <si>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</si>
  <si>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</si>
  <si>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</si>
  <si>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</si>
  <si>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</si>
  <si>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</si>
  <si>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</si>
  <si>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</si>
  <si>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</si>
  <si>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</si>
  <si>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</si>
  <si>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</si>
  <si>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</si>
  <si>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</si>
  <si>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</si>
  <si>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</si>
  <si>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</si>
  <si>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</si>
  <si>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</si>
  <si>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</si>
  <si>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</si>
  <si>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</si>
  <si>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</si>
  <si>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</si>
  <si>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</si>
  <si>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</si>
  <si>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</si>
  <si>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</si>
  <si>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</si>
  <si>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</si>
  <si>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</si>
  <si>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</si>
  <si>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</si>
  <si>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</si>
  <si>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</si>
  <si>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</si>
  <si>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</si>
  <si>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</si>
  <si>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</si>
  <si>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</si>
  <si>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</si>
  <si>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</si>
  <si>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</si>
  <si>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</si>
  <si>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</si>
  <si>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</si>
  <si>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</si>
  <si>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</si>
  <si>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</si>
  <si>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</si>
  <si>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</si>
  <si>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</si>
  <si>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</si>
  <si>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</si>
  <si>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</si>
  <si>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</si>
  <si>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</si>
  <si>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</si>
  <si>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</si>
  <si>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</si>
  <si>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</si>
  <si>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</si>
  <si>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</si>
  <si>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</si>
  <si>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</si>
  <si>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</si>
  <si>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</si>
  <si>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</si>
  <si>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</si>
  <si>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</si>
  <si>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</si>
  <si>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</si>
  <si>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</si>
  <si>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</si>
  <si>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</si>
  <si>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</si>
  <si>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</si>
  <si>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</si>
  <si>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</si>
  <si>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</si>
  <si>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</si>
  <si>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</si>
  <si>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</si>
  <si>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</si>
  <si>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</si>
  <si>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</si>
  <si>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</si>
  <si>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</si>
  <si>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</si>
  <si>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</si>
  <si>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</si>
  <si>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</si>
  <si>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</si>
  <si>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</si>
  <si>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</si>
  <si>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</si>
  <si>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</si>
  <si>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</si>
  <si>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</si>
  <si>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</si>
  <si>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</si>
  <si>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</si>
  <si>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</si>
  <si>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</si>
  <si>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</si>
  <si>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</si>
  <si>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</si>
  <si>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</si>
  <si>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</si>
  <si>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</si>
  <si>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</si>
  <si>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</si>
  <si>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</si>
  <si>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</si>
  <si>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</si>
  <si>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</si>
  <si>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</si>
  <si>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</si>
  <si>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</si>
  <si>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</si>
  <si>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</si>
  <si>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</si>
  <si>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</si>
  <si>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</si>
  <si>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</si>
  <si>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</si>
  <si>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</si>
  <si>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</si>
  <si>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</si>
  <si>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</si>
  <si>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</si>
  <si>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</si>
  <si>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</si>
  <si>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</si>
  <si>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</si>
  <si>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</si>
  <si>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</si>
  <si>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</si>
  <si>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</si>
  <si>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</si>
  <si>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</si>
  <si>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</si>
  <si>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</si>
  <si>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</si>
  <si>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Age_Group</t>
  </si>
  <si>
    <t>Exp_Level</t>
  </si>
  <si>
    <t>Year_Joined</t>
  </si>
  <si>
    <t>Retention_Risk</t>
  </si>
  <si>
    <t>Row Labels</t>
  </si>
  <si>
    <t>Grand Total</t>
  </si>
  <si>
    <t>Count of Emp_ID</t>
  </si>
  <si>
    <t>Sum of Salary</t>
  </si>
  <si>
    <t>Average of Performance</t>
  </si>
  <si>
    <t>Total Employees</t>
  </si>
  <si>
    <t>Enter Employee ID</t>
  </si>
  <si>
    <t>Employee Salary</t>
  </si>
  <si>
    <t>Employee Department</t>
  </si>
  <si>
    <t>Select Department</t>
  </si>
  <si>
    <t>Total Salary</t>
  </si>
  <si>
    <t>High Performers Count</t>
  </si>
  <si>
    <t>Average Salary</t>
  </si>
  <si>
    <t>Safe Salary Lookup</t>
  </si>
  <si>
    <t>Attrition Rate %</t>
  </si>
  <si>
    <t>Avg Performance</t>
  </si>
  <si>
    <t>s</t>
  </si>
  <si>
    <t>ss</t>
  </si>
  <si>
    <t>S</t>
  </si>
  <si>
    <t>EMPLOYEE LOOKUP</t>
  </si>
  <si>
    <t>DEPARTMENT ANALYSIS</t>
  </si>
  <si>
    <t>ERROR HANDLING</t>
  </si>
  <si>
    <r>
      <t>←</t>
    </r>
    <r>
      <rPr>
        <sz val="11"/>
        <color theme="1" tint="0.499984740745262"/>
        <rFont val="Calibri"/>
        <family val="2"/>
      </rPr>
      <t xml:space="preserve"> </t>
    </r>
    <r>
      <rPr>
        <i/>
        <sz val="9"/>
        <color theme="1" tint="0.34998626667073579"/>
        <rFont val="Calibri"/>
        <family val="2"/>
      </rPr>
      <t>Enter Employee ID here</t>
    </r>
  </si>
  <si>
    <r>
      <t>**</t>
    </r>
    <r>
      <rPr>
        <sz val="11"/>
        <color theme="1"/>
        <rFont val="Calibri"/>
        <family val="2"/>
      </rPr>
      <t>IFERROR returns Invalid ID when ID not found</t>
    </r>
    <r>
      <rPr>
        <sz val="11"/>
        <color theme="1"/>
        <rFont val="Aptos Narrow"/>
        <family val="2"/>
        <scheme val="minor"/>
      </rPr>
      <t>**</t>
    </r>
  </si>
  <si>
    <r>
      <t>←</t>
    </r>
    <r>
      <rPr>
        <sz val="11"/>
        <color theme="1" tint="0.34998626667073579"/>
        <rFont val="Aptos Narrow"/>
        <family val="2"/>
        <scheme val="minor"/>
      </rPr>
      <t xml:space="preserve"> </t>
    </r>
    <r>
      <rPr>
        <i/>
        <sz val="9"/>
        <color theme="1" tint="0.34998626667073579"/>
        <rFont val="Calibri"/>
        <family val="2"/>
      </rPr>
      <t>Enter Department 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</si>
</sst>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4"/>
      <color theme="2"/>
      <name val="Aptos Narrow"/>
      <family val="2"/>
      <scheme val="minor"/>
    </font>
    <font>
      <b/>
      <sz val="24"/>
      <color theme="2"/>
      <name val="Calibri"/>
      <family val="2"/>
    </font>
    <font>
      <b/>
      <sz val="24"/>
      <color theme="0"/>
      <name val="Aptos Narrow"/>
      <family val="2"/>
      <scheme val="minor"/>
    </font>
    <font>
      <sz val="14"/>
      <color theme="2"/>
      <name val="Calibri"/>
      <family val="2"/>
    </font>
    <font>
      <b/>
      <sz val="14"/>
      <color theme="0"/>
      <name val="Calibri"/>
      <family val="2"/>
    </font>
    <font>
      <b/>
      <sz val="14"/>
      <color theme="2"/>
      <name val="Calibri"/>
      <family val="2"/>
    </font>
    <font>
      <sz val="11"/>
      <color theme="1" tint="0.499984740745262"/>
      <name val="Calibri"/>
      <family val="2"/>
    </font>
    <font>
      <i/>
      <sz val="9"/>
      <color theme="1" tint="0.34998626667073579"/>
      <name val="Calibri"/>
      <family val="2"/>
    </font>
    <font>
      <sz val="11"/>
      <color theme="1" tint="0.34998626667073579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0" fillId="40" borderId="0" xfId="0" applyFill="1"/>
    <xf numFmtId="0" fontId="18" fillId="40" borderId="0" xfId="0" applyFont="1" applyFill="1"/>
    <xf numFmtId="0" fontId="21" fillId="33" borderId="10" xfId="0" applyFont="1" applyFill="1" applyBorder="1" applyAlignment="1">
      <alignment horizontal="center" vertical="top"/>
    </xf>
    <xf numFmtId="0" fontId="21" fillId="33" borderId="11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center" vertical="top"/>
    </xf>
    <xf numFmtId="0" fontId="21" fillId="33" borderId="13" xfId="0" applyFont="1" applyFill="1" applyBorder="1" applyAlignment="1">
      <alignment horizontal="center" vertical="top"/>
    </xf>
    <xf numFmtId="0" fontId="21" fillId="33" borderId="14" xfId="0" applyFont="1" applyFill="1" applyBorder="1" applyAlignment="1">
      <alignment horizontal="center" vertical="top"/>
    </xf>
    <xf numFmtId="0" fontId="21" fillId="33" borderId="15" xfId="0" applyFont="1" applyFill="1" applyBorder="1" applyAlignment="1">
      <alignment horizontal="center" vertical="top"/>
    </xf>
    <xf numFmtId="0" fontId="20" fillId="36" borderId="10" xfId="0" applyFont="1" applyFill="1" applyBorder="1" applyAlignment="1">
      <alignment horizontal="center" vertical="top"/>
    </xf>
    <xf numFmtId="0" fontId="20" fillId="36" borderId="11" xfId="0" applyFont="1" applyFill="1" applyBorder="1" applyAlignment="1">
      <alignment horizontal="center" vertical="top"/>
    </xf>
    <xf numFmtId="0" fontId="20" fillId="36" borderId="12" xfId="0" applyFont="1" applyFill="1" applyBorder="1" applyAlignment="1">
      <alignment horizontal="center" vertical="top"/>
    </xf>
    <xf numFmtId="0" fontId="20" fillId="36" borderId="13" xfId="0" applyFont="1" applyFill="1" applyBorder="1" applyAlignment="1">
      <alignment horizontal="center" vertical="top"/>
    </xf>
    <xf numFmtId="0" fontId="20" fillId="36" borderId="14" xfId="0" applyFont="1" applyFill="1" applyBorder="1" applyAlignment="1">
      <alignment horizontal="center" vertical="top"/>
    </xf>
    <xf numFmtId="0" fontId="20" fillId="36" borderId="15" xfId="0" applyFont="1" applyFill="1" applyBorder="1" applyAlignment="1">
      <alignment horizontal="center" vertical="top"/>
    </xf>
    <xf numFmtId="0" fontId="20" fillId="38" borderId="10" xfId="0" applyFont="1" applyFill="1" applyBorder="1" applyAlignment="1">
      <alignment vertical="top"/>
    </xf>
    <xf numFmtId="0" fontId="20" fillId="38" borderId="11" xfId="0" applyFont="1" applyFill="1" applyBorder="1" applyAlignment="1">
      <alignment vertical="top"/>
    </xf>
    <xf numFmtId="0" fontId="20" fillId="38" borderId="12" xfId="0" applyFont="1" applyFill="1" applyBorder="1" applyAlignment="1">
      <alignment vertical="top"/>
    </xf>
    <xf numFmtId="0" fontId="20" fillId="38" borderId="13" xfId="0" applyFont="1" applyFill="1" applyBorder="1" applyAlignment="1">
      <alignment vertical="top"/>
    </xf>
    <xf numFmtId="0" fontId="20" fillId="38" borderId="14" xfId="0" applyFont="1" applyFill="1" applyBorder="1" applyAlignment="1">
      <alignment vertical="top"/>
    </xf>
    <xf numFmtId="0" fontId="20" fillId="38" borderId="15" xfId="0" applyFont="1" applyFill="1" applyBorder="1" applyAlignment="1">
      <alignment vertical="top"/>
    </xf>
    <xf numFmtId="0" fontId="22" fillId="37" borderId="10" xfId="0" applyFont="1" applyFill="1" applyBorder="1" applyAlignment="1">
      <alignment horizontal="center" vertical="top"/>
    </xf>
    <xf numFmtId="0" fontId="22" fillId="37" borderId="11" xfId="0" applyFont="1" applyFill="1" applyBorder="1" applyAlignment="1">
      <alignment horizontal="center" vertical="top"/>
    </xf>
    <xf numFmtId="0" fontId="22" fillId="37" borderId="12" xfId="0" applyFont="1" applyFill="1" applyBorder="1" applyAlignment="1">
      <alignment horizontal="center" vertical="top"/>
    </xf>
    <xf numFmtId="0" fontId="22" fillId="37" borderId="13" xfId="0" applyFont="1" applyFill="1" applyBorder="1" applyAlignment="1">
      <alignment horizontal="center" vertical="top"/>
    </xf>
    <xf numFmtId="0" fontId="22" fillId="37" borderId="14" xfId="0" applyFont="1" applyFill="1" applyBorder="1" applyAlignment="1">
      <alignment horizontal="center" vertical="top"/>
    </xf>
    <xf numFmtId="0" fontId="22" fillId="37" borderId="15" xfId="0" applyFont="1" applyFill="1" applyBorder="1" applyAlignment="1">
      <alignment horizontal="center" vertical="top"/>
    </xf>
    <xf numFmtId="0" fontId="25" fillId="39" borderId="0" xfId="0" applyFont="1" applyFill="1" applyAlignment="1">
      <alignment horizontal="center"/>
    </xf>
    <xf numFmtId="0" fontId="23" fillId="39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  <xf numFmtId="0" fontId="17" fillId="35" borderId="0" xfId="0" applyFont="1" applyFill="1" applyAlignment="1">
      <alignment horizontal="center"/>
    </xf>
    <xf numFmtId="0" fontId="24" fillId="34" borderId="16" xfId="0" applyFont="1" applyFill="1" applyBorder="1" applyAlignment="1">
      <alignment horizontal="center"/>
    </xf>
    <xf numFmtId="0" fontId="17" fillId="34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[HR_Analytics_Dataset_500Rows_Final.xlsx]Pivot_Tables!PivotTable3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Employee Count by Department</a:t>
            </a:r>
          </a:p>
        </c:rich>
      </c:tx>
      <c:layout>
        <c:manualLayout>
          <c:xMode val="edge"/>
          <c:yMode val="edge"/>
          <c:x val="0.19246999785404184"/>
          <c:y val="3.5324534611109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91426071741032"/>
          <c:y val="0.34950240594925636"/>
          <c:w val="0.7761642607174102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Pivot_Tables!$A$2:$A$6</c:f>
              <c:strCache>
                <c:ptCount val="4"/>
                <c:pt idx="0">
                  <c:v>IT</c:v>
                </c:pt>
                <c:pt idx="1">
                  <c:v>Finance</c:v>
                </c:pt>
                <c:pt idx="2">
                  <c:v>Sales</c:v>
                </c:pt>
                <c:pt idx="3">
                  <c:v>HR</c:v>
                </c:pt>
              </c:strCache>
            </c:strRef>
          </c:cat>
          <c:val>
            <c:numRef>
              <c:f>Pivot_Tables!$B$2:$B$6</c:f>
              <c:numCache>
                <c:formatCode>General</c:formatCode>
                <c:ptCount val="4"/>
                <c:pt idx="0">
                  <c:v>137</c:v>
                </c:pt>
                <c:pt idx="1">
                  <c:v>129</c:v>
                </c:pt>
                <c:pt idx="2">
                  <c:v>126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D-4A90-B30C-F9C733532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125216"/>
        <c:axId val="1293115136"/>
      </c:barChart>
      <c:catAx>
        <c:axId val="129312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93115136"/>
        <c:crosses val="autoZero"/>
        <c:auto val="1"/>
        <c:lblAlgn val="ctr"/>
        <c:lblOffset val="100"/>
        <c:noMultiLvlLbl val="0"/>
      </c:catAx>
      <c:valAx>
        <c:axId val="129311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9312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[HR_Analytics_Dataset_500Rows_Final.xlsx]Pivot_Tables!PivotTable2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>
                <a:solidFill>
                  <a:sysClr val="windowText" lastClr="000000"/>
                </a:solidFill>
              </a:rPr>
              <a:t>Payroll by Department</a:t>
            </a:r>
          </a:p>
        </c:rich>
      </c:tx>
      <c:layout>
        <c:manualLayout>
          <c:xMode val="edge"/>
          <c:yMode val="edge"/>
          <c:x val="0.29481233595800527"/>
          <c:y val="3.9301983763528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Pivot_Tables!$E$2:$E$6</c:f>
              <c:strCache>
                <c:ptCount val="4"/>
                <c:pt idx="0">
                  <c:v>IT</c:v>
                </c:pt>
                <c:pt idx="1">
                  <c:v>Finance</c:v>
                </c:pt>
                <c:pt idx="2">
                  <c:v>Sales</c:v>
                </c:pt>
                <c:pt idx="3">
                  <c:v>HR</c:v>
                </c:pt>
              </c:strCache>
            </c:strRef>
          </c:cat>
          <c:val>
            <c:numRef>
              <c:f>Pivot_Tables!$F$2:$F$6</c:f>
              <c:numCache>
                <c:formatCode>General</c:formatCode>
                <c:ptCount val="4"/>
                <c:pt idx="0">
                  <c:v>8474567</c:v>
                </c:pt>
                <c:pt idx="1">
                  <c:v>7541134</c:v>
                </c:pt>
                <c:pt idx="2">
                  <c:v>7249919</c:v>
                </c:pt>
                <c:pt idx="3">
                  <c:v>5922217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1-42D4-AAE0-643F5D20B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054704"/>
        <c:axId val="1647053744"/>
      </c:barChart>
      <c:catAx>
        <c:axId val="164705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53744"/>
        <c:crosses val="autoZero"/>
        <c:auto val="1"/>
        <c:lblAlgn val="ctr"/>
        <c:lblOffset val="100"/>
        <c:noMultiLvlLbl val="0"/>
      </c:catAx>
      <c:valAx>
        <c:axId val="16470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5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[HR_Analytics_Dataset_500Rows_Final.xlsx]Pivot_Tables!PivotTable4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Attrition by Department</a:t>
            </a:r>
          </a:p>
        </c:rich>
      </c:tx>
      <c:layout>
        <c:manualLayout>
          <c:xMode val="edge"/>
          <c:yMode val="edge"/>
          <c:x val="0.26616797900262468"/>
          <c:y val="4.3834009385190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47612430799094"/>
          <c:y val="0.30348007635409208"/>
          <c:w val="0.59587226596675402"/>
          <c:h val="0.57471049073411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Pivot_Tables!$A$11:$A$15</c:f>
              <c:strCache>
                <c:ptCount val="4"/>
                <c:pt idx="0">
                  <c:v>Sales</c:v>
                </c:pt>
                <c:pt idx="1">
                  <c:v>IT</c:v>
                </c:pt>
                <c:pt idx="2">
                  <c:v>Finance</c:v>
                </c:pt>
                <c:pt idx="3">
                  <c:v>HR</c:v>
                </c:pt>
              </c:strCache>
            </c:strRef>
          </c:cat>
          <c:val>
            <c:numRef>
              <c:f>Pivot_Tables!$B$11:$B$15</c:f>
              <c:numCache>
                <c:formatCode>General</c:formatCode>
                <c:ptCount val="4"/>
                <c:pt idx="0">
                  <c:v>31</c:v>
                </c:pt>
                <c:pt idx="1">
                  <c:v>30</c:v>
                </c:pt>
                <c:pt idx="2">
                  <c:v>24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D-4B4D-9AD0-7F046017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051344"/>
        <c:axId val="1647079664"/>
      </c:barChart>
      <c:catAx>
        <c:axId val="164705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79664"/>
        <c:crosses val="autoZero"/>
        <c:auto val="1"/>
        <c:lblAlgn val="ctr"/>
        <c:lblOffset val="100"/>
        <c:noMultiLvlLbl val="0"/>
      </c:catAx>
      <c:valAx>
        <c:axId val="164707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5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[HR_Analytics_Dataset_500Rows_Final.xlsx]Pivot_Tables!PivotTable5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Avg Performance Score</a:t>
            </a:r>
          </a:p>
        </c:rich>
      </c:tx>
      <c:layout>
        <c:manualLayout>
          <c:xMode val="edge"/>
          <c:yMode val="edge"/>
          <c:x val="0.31315966754155733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662292213473301E-2"/>
          <c:y val="0.1824770341207349"/>
          <c:w val="0.87778215223097111"/>
          <c:h val="0.688973097112860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Pivot_Tables!$E$11:$E$15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Sales</c:v>
                </c:pt>
                <c:pt idx="3">
                  <c:v>IT</c:v>
                </c:pt>
              </c:strCache>
            </c:strRef>
          </c:cat>
          <c:val>
            <c:numRef>
              <c:f>Pivot_Tables!$F$11:$F$15</c:f>
              <c:numCache>
                <c:formatCode>0.0</c:formatCode>
                <c:ptCount val="4"/>
                <c:pt idx="0">
                  <c:v>3.1240310077519382</c:v>
                </c:pt>
                <c:pt idx="1">
                  <c:v>3.1111111111111112</c:v>
                </c:pt>
                <c:pt idx="2">
                  <c:v>3.0714285714285716</c:v>
                </c:pt>
                <c:pt idx="3">
                  <c:v>2.9562043795620436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C-44EC-81A7-325522825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078224"/>
        <c:axId val="1647076784"/>
      </c:barChart>
      <c:catAx>
        <c:axId val="164707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76784"/>
        <c:crosses val="autoZero"/>
        <c:auto val="1"/>
        <c:lblAlgn val="ctr"/>
        <c:lblOffset val="100"/>
        <c:noMultiLvlLbl val="0"/>
      </c:catAx>
      <c:valAx>
        <c:axId val="1647076784"/>
        <c:scaling>
          <c:orientation val="minMax"/>
          <c:max val="3.3"/>
          <c:min val="2.8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707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6</xdr:row>
      <xdr:rowOff>180974</xdr:rowOff>
    </xdr:from>
    <xdr:to>
      <xdr:col>8</xdr:col>
      <xdr:colOff>266699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30319-DAD5-4B29-9F71-FFD15E012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504825</xdr:colOff>
      <xdr:row>6</xdr:row>
      <xdr:rowOff>142876</xdr:rowOff>
    </xdr:from>
    <xdr:to>
      <xdr:col>17</xdr:col>
      <xdr:colOff>200025</xdr:colOff>
      <xdr:row>20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1C31C0-1E0D-4DF0-B23B-65DF52E1A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22</xdr:row>
      <xdr:rowOff>9525</xdr:rowOff>
    </xdr:from>
    <xdr:to>
      <xdr:col>8</xdr:col>
      <xdr:colOff>257175</xdr:colOff>
      <xdr:row>35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F474FB-2C46-4315-8D2E-73BA55FCA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409575</xdr:colOff>
      <xdr:row>21</xdr:row>
      <xdr:rowOff>85725</xdr:rowOff>
    </xdr:from>
    <xdr:to>
      <xdr:col>17</xdr:col>
      <xdr:colOff>104775</xdr:colOff>
      <xdr:row>35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49191E-71B1-41BB-BD60-B94D4FF30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6</xdr:col>
      <xdr:colOff>600076</xdr:colOff>
      <xdr:row>4</xdr:row>
      <xdr:rowOff>133349</xdr:rowOff>
    </xdr:from>
    <xdr:ext cx="2419350" cy="352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679AA1-FD57-BB37-754A-AE5B0A0CAF1E}"/>
            </a:ext>
          </a:extLst>
        </xdr:cNvPr>
        <xdr:cNvSpPr txBox="1"/>
      </xdr:nvSpPr>
      <xdr:spPr>
        <a:xfrm>
          <a:off x="4257676" y="962024"/>
          <a:ext cx="2419350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HR Analytics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qi Uddin" refreshedDate="46133.642205555552" createdVersion="8" refreshedVersion="8" minRefreshableVersion="3" recordCount="500" xr:uid="{9DF5ECAA-1646-4999-8A3E-A1AA0386A144}">
  <cacheSource type="worksheet">
    <worksheetSource name="Table3"/>
  </cacheSource>
  <cacheFields count="16">
    <cacheField name="Emp_ID" numFmtId="0">
      <sharedItems/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2" maxValue="45"/>
    </cacheField>
    <cacheField name="Department" numFmtId="0">
      <sharedItems count="4">
        <s v="IT"/>
        <s v="Finance"/>
        <s v="HR"/>
        <s v="Sales"/>
      </sharedItems>
    </cacheField>
    <cacheField name="Job_Role" numFmtId="0">
      <sharedItems/>
    </cacheField>
    <cacheField name="Salary" numFmtId="0">
      <sharedItems containsSemiMixedTypes="0" containsString="0" containsNumber="1" containsInteger="1" minValue="33996" maxValue="88213"/>
    </cacheField>
    <cacheField name="Experience" numFmtId="0">
      <sharedItems containsSemiMixedTypes="0" containsString="0" containsNumber="1" containsInteger="1" minValue="0" maxValue="15"/>
    </cacheField>
    <cacheField name="Joining_Date" numFmtId="14">
      <sharedItems containsSemiMixedTypes="0" containsNonDate="0" containsDate="1" containsString="0" minDate="2015-01-20T00:00:00" maxDate="2025-12-14T00:00:00"/>
    </cacheField>
    <cacheField name="Performance" numFmtId="0">
      <sharedItems containsSemiMixedTypes="0" containsString="0" containsNumber="1" containsInteger="1" minValue="1" maxValue="5"/>
    </cacheField>
    <cacheField name="Attrition" numFmtId="0">
      <sharedItems count="2">
        <s v="No"/>
        <s v="Yes"/>
      </sharedItems>
    </cacheField>
    <cacheField name="Location" numFmtId="0">
      <sharedItems/>
    </cacheField>
    <cacheField name="Age_Group" numFmtId="0">
      <sharedItems/>
    </cacheField>
    <cacheField name="Exp_Level" numFmtId="0">
      <sharedItems/>
    </cacheField>
    <cacheField name="Year_Joined" numFmtId="0">
      <sharedItems containsSemiMixedTypes="0" containsString="0" containsNumber="1" containsInteger="1" minValue="2015" maxValue="2025"/>
    </cacheField>
    <cacheField name="Retention_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001"/>
    <s v="Divya"/>
    <s v="Female"/>
    <n v="29"/>
    <x v="0"/>
    <s v="Data Analyst"/>
    <n v="62066"/>
    <n v="4"/>
    <d v="2016-02-24T00:00:00"/>
    <n v="5"/>
    <x v="0"/>
    <s v="Chennai"/>
    <s v="Young"/>
    <s v="Mid"/>
    <n v="2016"/>
    <s v="Stable"/>
  </r>
  <r>
    <s v="E002"/>
    <s v="Vikram"/>
    <s v="Male"/>
    <n v="29"/>
    <x v="0"/>
    <s v="Data Analyst"/>
    <n v="49195"/>
    <n v="0"/>
    <d v="2017-03-25T00:00:00"/>
    <n v="5"/>
    <x v="0"/>
    <s v="Chennai"/>
    <s v="Young"/>
    <s v="Junior"/>
    <n v="2017"/>
    <s v="Stable"/>
  </r>
  <r>
    <s v="E003"/>
    <s v="Kavya"/>
    <s v="Male"/>
    <n v="32"/>
    <x v="1"/>
    <s v="Accountant"/>
    <n v="59547"/>
    <n v="8"/>
    <d v="2017-05-31T00:00:00"/>
    <n v="3"/>
    <x v="0"/>
    <s v="Chennai"/>
    <s v="Mid"/>
    <s v="Senior"/>
    <n v="2017"/>
    <s v="Stable"/>
  </r>
  <r>
    <s v="E004"/>
    <s v="Sana"/>
    <s v="Female"/>
    <n v="30"/>
    <x v="0"/>
    <s v="Support Engineer"/>
    <n v="54455"/>
    <n v="1"/>
    <d v="2020-02-25T00:00:00"/>
    <n v="5"/>
    <x v="0"/>
    <s v="Chennai"/>
    <s v="Mid"/>
    <s v="Junior"/>
    <n v="2020"/>
    <s v="Stable"/>
  </r>
  <r>
    <s v="E005"/>
    <s v="Sana"/>
    <s v="Female"/>
    <n v="33"/>
    <x v="0"/>
    <s v="QA Analyst"/>
    <n v="66543"/>
    <n v="6"/>
    <d v="2015-10-12T00:00:00"/>
    <n v="1"/>
    <x v="0"/>
    <s v="Hyderabad"/>
    <s v="Mid"/>
    <s v="Mid"/>
    <n v="2015"/>
    <s v="High Risk"/>
  </r>
  <r>
    <s v="E006"/>
    <s v="Karan"/>
    <s v="Female"/>
    <n v="36"/>
    <x v="2"/>
    <s v="HR Executive"/>
    <n v="63164"/>
    <n v="11"/>
    <d v="2019-02-25T00:00:00"/>
    <n v="3"/>
    <x v="0"/>
    <s v="Mumbai"/>
    <s v="Mid"/>
    <s v="Senior"/>
    <n v="2019"/>
    <s v="Stable"/>
  </r>
  <r>
    <s v="E007"/>
    <s v="Ayesha"/>
    <s v="Male"/>
    <n v="45"/>
    <x v="0"/>
    <s v="QA Analyst"/>
    <n v="60177"/>
    <n v="7"/>
    <d v="2020-03-08T00:00:00"/>
    <n v="4"/>
    <x v="0"/>
    <s v="Delhi"/>
    <s v="Senior"/>
    <s v="Mid"/>
    <n v="2020"/>
    <s v="Stable"/>
  </r>
  <r>
    <s v="E008"/>
    <s v="Divya"/>
    <s v="Male"/>
    <n v="23"/>
    <x v="2"/>
    <s v="HR Associate"/>
    <n v="44572"/>
    <n v="2"/>
    <d v="2018-01-01T00:00:00"/>
    <n v="1"/>
    <x v="1"/>
    <s v="Pune"/>
    <s v="Young"/>
    <s v="Junior"/>
    <n v="2018"/>
    <s v="Stable"/>
  </r>
  <r>
    <s v="E009"/>
    <s v="Sameer"/>
    <s v="Female"/>
    <n v="42"/>
    <x v="1"/>
    <s v="Financial Analyst"/>
    <n v="74340"/>
    <n v="14"/>
    <d v="2017-12-20T00:00:00"/>
    <n v="2"/>
    <x v="1"/>
    <s v="Pune"/>
    <s v="Senior"/>
    <s v="Senior"/>
    <n v="2017"/>
    <s v="Stable"/>
  </r>
  <r>
    <s v="E010"/>
    <s v="Anjali"/>
    <s v="Female"/>
    <n v="29"/>
    <x v="1"/>
    <s v="Senior Accountant"/>
    <n v="55348"/>
    <n v="4"/>
    <d v="2020-07-14T00:00:00"/>
    <n v="1"/>
    <x v="0"/>
    <s v="Bangalore"/>
    <s v="Young"/>
    <s v="Mid"/>
    <n v="2020"/>
    <s v="High Risk"/>
  </r>
  <r>
    <s v="E011"/>
    <s v="Sameer"/>
    <s v="Male"/>
    <n v="34"/>
    <x v="2"/>
    <s v="HR Manager"/>
    <n v="74169"/>
    <n v="13"/>
    <d v="2017-10-26T00:00:00"/>
    <n v="5"/>
    <x v="0"/>
    <s v="Hyderabad"/>
    <s v="Mid"/>
    <s v="Senior"/>
    <n v="2017"/>
    <s v="Stable"/>
  </r>
  <r>
    <s v="E012"/>
    <s v="Rohan"/>
    <s v="Female"/>
    <n v="25"/>
    <x v="0"/>
    <s v="QA Analyst"/>
    <n v="57123"/>
    <n v="4"/>
    <d v="2016-10-09T00:00:00"/>
    <n v="4"/>
    <x v="1"/>
    <s v="Delhi"/>
    <s v="Young"/>
    <s v="Mid"/>
    <n v="2016"/>
    <s v="Stable"/>
  </r>
  <r>
    <s v="E013"/>
    <s v="Meena"/>
    <s v="Male"/>
    <n v="42"/>
    <x v="1"/>
    <s v="Financial Analyst"/>
    <n v="54504"/>
    <n v="6"/>
    <d v="2019-03-12T00:00:00"/>
    <n v="2"/>
    <x v="0"/>
    <s v="Pune"/>
    <s v="Senior"/>
    <s v="Mid"/>
    <n v="2019"/>
    <s v="High Risk"/>
  </r>
  <r>
    <s v="E014"/>
    <s v="Pooja"/>
    <s v="Female"/>
    <n v="22"/>
    <x v="0"/>
    <s v="QA Analyst"/>
    <n v="48447"/>
    <n v="1"/>
    <d v="2024-11-08T00:00:00"/>
    <n v="3"/>
    <x v="0"/>
    <s v="Bangalore"/>
    <s v="Young"/>
    <s v="Junior"/>
    <n v="2024"/>
    <s v="Stable"/>
  </r>
  <r>
    <s v="E015"/>
    <s v="Amit"/>
    <s v="Female"/>
    <n v="39"/>
    <x v="0"/>
    <s v="Data Analyst"/>
    <n v="52103"/>
    <n v="4"/>
    <d v="2022-05-26T00:00:00"/>
    <n v="4"/>
    <x v="0"/>
    <s v="Bangalore"/>
    <s v="Mid"/>
    <s v="Mid"/>
    <n v="2022"/>
    <s v="Stable"/>
  </r>
  <r>
    <s v="E016"/>
    <s v="Ayesha"/>
    <s v="Male"/>
    <n v="45"/>
    <x v="1"/>
    <s v="Senior Accountant"/>
    <n v="63680"/>
    <n v="6"/>
    <d v="2018-06-30T00:00:00"/>
    <n v="4"/>
    <x v="0"/>
    <s v="Delhi"/>
    <s v="Senior"/>
    <s v="Mid"/>
    <n v="2018"/>
    <s v="Stable"/>
  </r>
  <r>
    <s v="E017"/>
    <s v="Sneha"/>
    <s v="Female"/>
    <n v="29"/>
    <x v="1"/>
    <s v="Senior Accountant"/>
    <n v="55549"/>
    <n v="7"/>
    <d v="2018-10-16T00:00:00"/>
    <n v="1"/>
    <x v="0"/>
    <s v="Bangalore"/>
    <s v="Young"/>
    <s v="Mid"/>
    <n v="2018"/>
    <s v="High Risk"/>
  </r>
  <r>
    <s v="E018"/>
    <s v="Divya"/>
    <s v="Male"/>
    <n v="24"/>
    <x v="0"/>
    <s v="Data Analyst"/>
    <n v="47913"/>
    <n v="1"/>
    <d v="2015-10-18T00:00:00"/>
    <n v="5"/>
    <x v="0"/>
    <s v="Delhi"/>
    <s v="Young"/>
    <s v="Junior"/>
    <n v="2015"/>
    <s v="Stable"/>
  </r>
  <r>
    <s v="E019"/>
    <s v="Tarun"/>
    <s v="Male"/>
    <n v="40"/>
    <x v="3"/>
    <s v="Inside Sales"/>
    <n v="76481"/>
    <n v="15"/>
    <d v="2023-10-19T00:00:00"/>
    <n v="4"/>
    <x v="0"/>
    <s v="Bangalore"/>
    <s v="Mid"/>
    <s v="Senior"/>
    <n v="2023"/>
    <s v="Stable"/>
  </r>
  <r>
    <s v="E020"/>
    <s v="Anjali"/>
    <s v="Female"/>
    <n v="35"/>
    <x v="0"/>
    <s v="Data Analyst"/>
    <n v="80151"/>
    <n v="13"/>
    <d v="2024-09-08T00:00:00"/>
    <n v="1"/>
    <x v="0"/>
    <s v="Hyderabad"/>
    <s v="Mid"/>
    <s v="Senior"/>
    <n v="2024"/>
    <s v="High Risk"/>
  </r>
  <r>
    <s v="E021"/>
    <s v="Sneha"/>
    <s v="Female"/>
    <n v="29"/>
    <x v="0"/>
    <s v="Python Developer"/>
    <n v="58116"/>
    <n v="6"/>
    <d v="2021-01-05T00:00:00"/>
    <n v="4"/>
    <x v="0"/>
    <s v="Bangalore"/>
    <s v="Young"/>
    <s v="Mid"/>
    <n v="2021"/>
    <s v="Stable"/>
  </r>
  <r>
    <s v="E022"/>
    <s v="Amit"/>
    <s v="Male"/>
    <n v="36"/>
    <x v="1"/>
    <s v="Senior Accountant"/>
    <n v="45328"/>
    <n v="3"/>
    <d v="2022-04-25T00:00:00"/>
    <n v="5"/>
    <x v="0"/>
    <s v="Hyderabad"/>
    <s v="Mid"/>
    <s v="Mid"/>
    <n v="2022"/>
    <s v="Stable"/>
  </r>
  <r>
    <s v="E023"/>
    <s v="Pooja"/>
    <s v="Female"/>
    <n v="37"/>
    <x v="2"/>
    <s v="Talent Acquisition"/>
    <n v="54570"/>
    <n v="6"/>
    <d v="2025-02-13T00:00:00"/>
    <n v="1"/>
    <x v="1"/>
    <s v="Hyderabad"/>
    <s v="Mid"/>
    <s v="Mid"/>
    <n v="2025"/>
    <s v="Stable"/>
  </r>
  <r>
    <s v="E024"/>
    <s v="Meena"/>
    <s v="Female"/>
    <n v="35"/>
    <x v="3"/>
    <s v="Regional Manager"/>
    <n v="72536"/>
    <n v="14"/>
    <d v="2017-02-16T00:00:00"/>
    <n v="3"/>
    <x v="0"/>
    <s v="Hyderabad"/>
    <s v="Mid"/>
    <s v="Senior"/>
    <n v="2017"/>
    <s v="Stable"/>
  </r>
  <r>
    <s v="E025"/>
    <s v="Priya"/>
    <s v="Male"/>
    <n v="40"/>
    <x v="0"/>
    <s v="Support Engineer"/>
    <n v="85738"/>
    <n v="15"/>
    <d v="2025-04-23T00:00:00"/>
    <n v="5"/>
    <x v="0"/>
    <s v="Pune"/>
    <s v="Mid"/>
    <s v="Senior"/>
    <n v="2025"/>
    <s v="Stable"/>
  </r>
  <r>
    <s v="E026"/>
    <s v="Sana"/>
    <s v="Male"/>
    <n v="24"/>
    <x v="0"/>
    <s v="BI Developer"/>
    <n v="54115"/>
    <n v="3"/>
    <d v="2016-05-06T00:00:00"/>
    <n v="5"/>
    <x v="0"/>
    <s v="Pune"/>
    <s v="Young"/>
    <s v="Mid"/>
    <n v="2016"/>
    <s v="Stable"/>
  </r>
  <r>
    <s v="E027"/>
    <s v="Kavya"/>
    <s v="Male"/>
    <n v="43"/>
    <x v="0"/>
    <s v="QA Analyst"/>
    <n v="69272"/>
    <n v="10"/>
    <d v="2017-04-16T00:00:00"/>
    <n v="3"/>
    <x v="0"/>
    <s v="Chennai"/>
    <s v="Senior"/>
    <s v="Senior"/>
    <n v="2017"/>
    <s v="Stable"/>
  </r>
  <r>
    <s v="E028"/>
    <s v="Rohan"/>
    <s v="Female"/>
    <n v="24"/>
    <x v="2"/>
    <s v="HR Associate"/>
    <n v="40508"/>
    <n v="0"/>
    <d v="2021-12-19T00:00:00"/>
    <n v="5"/>
    <x v="0"/>
    <s v="Hyderabad"/>
    <s v="Young"/>
    <s v="Junior"/>
    <n v="2021"/>
    <s v="Stable"/>
  </r>
  <r>
    <s v="E029"/>
    <s v="Anjali"/>
    <s v="Male"/>
    <n v="24"/>
    <x v="2"/>
    <s v="HR Associate"/>
    <n v="46554"/>
    <n v="3"/>
    <d v="2018-03-13T00:00:00"/>
    <n v="2"/>
    <x v="1"/>
    <s v="Pune"/>
    <s v="Young"/>
    <s v="Mid"/>
    <n v="2018"/>
    <s v="Stable"/>
  </r>
  <r>
    <s v="E030"/>
    <s v="Sneha"/>
    <s v="Female"/>
    <n v="26"/>
    <x v="1"/>
    <s v="Accountant"/>
    <n v="51391"/>
    <n v="5"/>
    <d v="2024-12-23T00:00:00"/>
    <n v="1"/>
    <x v="0"/>
    <s v="Mumbai"/>
    <s v="Young"/>
    <s v="Mid"/>
    <n v="2024"/>
    <s v="High Risk"/>
  </r>
  <r>
    <s v="E031"/>
    <s v="Karan"/>
    <s v="Male"/>
    <n v="38"/>
    <x v="2"/>
    <s v="HR Associate"/>
    <n v="74614"/>
    <n v="15"/>
    <d v="2025-02-25T00:00:00"/>
    <n v="1"/>
    <x v="1"/>
    <s v="Chennai"/>
    <s v="Mid"/>
    <s v="Senior"/>
    <n v="2025"/>
    <s v="Stable"/>
  </r>
  <r>
    <s v="E032"/>
    <s v="Rohan"/>
    <s v="Male"/>
    <n v="26"/>
    <x v="1"/>
    <s v="Accountant"/>
    <n v="52147"/>
    <n v="5"/>
    <d v="2023-04-25T00:00:00"/>
    <n v="4"/>
    <x v="0"/>
    <s v="Chennai"/>
    <s v="Young"/>
    <s v="Mid"/>
    <n v="2023"/>
    <s v="Stable"/>
  </r>
  <r>
    <s v="E033"/>
    <s v="Arjun"/>
    <s v="Male"/>
    <n v="39"/>
    <x v="0"/>
    <s v="Data Analyst"/>
    <n v="48549"/>
    <n v="1"/>
    <d v="2021-07-13T00:00:00"/>
    <n v="5"/>
    <x v="0"/>
    <s v="Bangalore"/>
    <s v="Mid"/>
    <s v="Junior"/>
    <n v="2021"/>
    <s v="Stable"/>
  </r>
  <r>
    <s v="E034"/>
    <s v="Priya"/>
    <s v="Female"/>
    <n v="33"/>
    <x v="0"/>
    <s v="Support Engineer"/>
    <n v="66174"/>
    <n v="6"/>
    <d v="2017-10-19T00:00:00"/>
    <n v="1"/>
    <x v="1"/>
    <s v="Pune"/>
    <s v="Mid"/>
    <s v="Mid"/>
    <n v="2017"/>
    <s v="Stable"/>
  </r>
  <r>
    <s v="E035"/>
    <s v="Neha"/>
    <s v="Male"/>
    <n v="27"/>
    <x v="3"/>
    <s v="Inside Sales"/>
    <n v="50406"/>
    <n v="6"/>
    <d v="2017-01-04T00:00:00"/>
    <n v="3"/>
    <x v="0"/>
    <s v="Chennai"/>
    <s v="Young"/>
    <s v="Mid"/>
    <n v="2017"/>
    <s v="Stable"/>
  </r>
  <r>
    <s v="E036"/>
    <s v="Sneha"/>
    <s v="Male"/>
    <n v="34"/>
    <x v="2"/>
    <s v="HR Associate"/>
    <n v="43211"/>
    <n v="1"/>
    <d v="2017-06-30T00:00:00"/>
    <n v="2"/>
    <x v="0"/>
    <s v="Mumbai"/>
    <s v="Mid"/>
    <s v="Junior"/>
    <n v="2017"/>
    <s v="High Risk"/>
  </r>
  <r>
    <s v="E037"/>
    <s v="Vikram"/>
    <s v="Male"/>
    <n v="34"/>
    <x v="2"/>
    <s v="Talent Acquisition"/>
    <n v="62564"/>
    <n v="10"/>
    <d v="2024-09-10T00:00:00"/>
    <n v="1"/>
    <x v="0"/>
    <s v="Delhi"/>
    <s v="Mid"/>
    <s v="Senior"/>
    <n v="2024"/>
    <s v="High Risk"/>
  </r>
  <r>
    <s v="E038"/>
    <s v="Sneha"/>
    <s v="Male"/>
    <n v="30"/>
    <x v="3"/>
    <s v="Regional Manager"/>
    <n v="57012"/>
    <n v="5"/>
    <d v="2025-10-17T00:00:00"/>
    <n v="3"/>
    <x v="1"/>
    <s v="Pune"/>
    <s v="Mid"/>
    <s v="Mid"/>
    <n v="2025"/>
    <s v="Stable"/>
  </r>
  <r>
    <s v="E039"/>
    <s v="Kavya"/>
    <s v="Female"/>
    <n v="41"/>
    <x v="3"/>
    <s v="Regional Manager"/>
    <n v="48811"/>
    <n v="3"/>
    <d v="2025-02-01T00:00:00"/>
    <n v="5"/>
    <x v="0"/>
    <s v="Hyderabad"/>
    <s v="Senior"/>
    <s v="Mid"/>
    <n v="2025"/>
    <s v="Stable"/>
  </r>
  <r>
    <s v="E040"/>
    <s v="Anjali"/>
    <s v="Male"/>
    <n v="35"/>
    <x v="3"/>
    <s v="Sales Executive"/>
    <n v="50882"/>
    <n v="2"/>
    <d v="2025-04-29T00:00:00"/>
    <n v="3"/>
    <x v="0"/>
    <s v="Delhi"/>
    <s v="Mid"/>
    <s v="Junior"/>
    <n v="2025"/>
    <s v="Stable"/>
  </r>
  <r>
    <s v="E041"/>
    <s v="Kavya"/>
    <s v="Female"/>
    <n v="32"/>
    <x v="0"/>
    <s v="Support Engineer"/>
    <n v="78923"/>
    <n v="11"/>
    <d v="2018-04-26T00:00:00"/>
    <n v="5"/>
    <x v="0"/>
    <s v="Chennai"/>
    <s v="Mid"/>
    <s v="Senior"/>
    <n v="2018"/>
    <s v="Stable"/>
  </r>
  <r>
    <s v="E042"/>
    <s v="Sameer"/>
    <s v="Female"/>
    <n v="39"/>
    <x v="3"/>
    <s v="Inside Sales"/>
    <n v="39978"/>
    <n v="0"/>
    <d v="2018-03-21T00:00:00"/>
    <n v="2"/>
    <x v="1"/>
    <s v="Pune"/>
    <s v="Mid"/>
    <s v="Junior"/>
    <n v="2018"/>
    <s v="Stable"/>
  </r>
  <r>
    <s v="E043"/>
    <s v="Imran"/>
    <s v="Female"/>
    <n v="43"/>
    <x v="1"/>
    <s v="Senior Accountant"/>
    <n v="60375"/>
    <n v="6"/>
    <d v="2020-04-22T00:00:00"/>
    <n v="2"/>
    <x v="0"/>
    <s v="Delhi"/>
    <s v="Senior"/>
    <s v="Mid"/>
    <n v="2020"/>
    <s v="High Risk"/>
  </r>
  <r>
    <s v="E044"/>
    <s v="Meena"/>
    <s v="Male"/>
    <n v="29"/>
    <x v="1"/>
    <s v="Accountant"/>
    <n v="54414"/>
    <n v="6"/>
    <d v="2015-04-11T00:00:00"/>
    <n v="1"/>
    <x v="1"/>
    <s v="Chennai"/>
    <s v="Young"/>
    <s v="Mid"/>
    <n v="2015"/>
    <s v="Stable"/>
  </r>
  <r>
    <s v="E045"/>
    <s v="Tarun"/>
    <s v="Female"/>
    <n v="28"/>
    <x v="0"/>
    <s v="Python Developer"/>
    <n v="65599"/>
    <n v="7"/>
    <d v="2019-06-25T00:00:00"/>
    <n v="2"/>
    <x v="1"/>
    <s v="Delhi"/>
    <s v="Young"/>
    <s v="Mid"/>
    <n v="2019"/>
    <s v="Stable"/>
  </r>
  <r>
    <s v="E046"/>
    <s v="Divya"/>
    <s v="Female"/>
    <n v="27"/>
    <x v="0"/>
    <s v="Data Analyst"/>
    <n v="55822"/>
    <n v="6"/>
    <d v="2021-04-02T00:00:00"/>
    <n v="2"/>
    <x v="0"/>
    <s v="Bangalore"/>
    <s v="Young"/>
    <s v="Mid"/>
    <n v="2021"/>
    <s v="High Risk"/>
  </r>
  <r>
    <s v="E047"/>
    <s v="Sana"/>
    <s v="Female"/>
    <n v="45"/>
    <x v="3"/>
    <s v="Regional Manager"/>
    <n v="76476"/>
    <n v="13"/>
    <d v="2020-01-01T00:00:00"/>
    <n v="2"/>
    <x v="0"/>
    <s v="Mumbai"/>
    <s v="Senior"/>
    <s v="Senior"/>
    <n v="2020"/>
    <s v="High Risk"/>
  </r>
  <r>
    <s v="E048"/>
    <s v="Divya"/>
    <s v="Female"/>
    <n v="30"/>
    <x v="2"/>
    <s v="HR Associate"/>
    <n v="56769"/>
    <n v="9"/>
    <d v="2023-01-01T00:00:00"/>
    <n v="3"/>
    <x v="0"/>
    <s v="Mumbai"/>
    <s v="Mid"/>
    <s v="Senior"/>
    <n v="2023"/>
    <s v="Stable"/>
  </r>
  <r>
    <s v="E049"/>
    <s v="Arjun"/>
    <s v="Male"/>
    <n v="29"/>
    <x v="1"/>
    <s v="Accountant"/>
    <n v="68369"/>
    <n v="8"/>
    <d v="2016-09-17T00:00:00"/>
    <n v="2"/>
    <x v="1"/>
    <s v="Chennai"/>
    <s v="Young"/>
    <s v="Senior"/>
    <n v="2016"/>
    <s v="Stable"/>
  </r>
  <r>
    <s v="E050"/>
    <s v="Priya"/>
    <s v="Female"/>
    <n v="28"/>
    <x v="1"/>
    <s v="Senior Accountant"/>
    <n v="60881"/>
    <n v="7"/>
    <d v="2025-02-23T00:00:00"/>
    <n v="5"/>
    <x v="0"/>
    <s v="Hyderabad"/>
    <s v="Young"/>
    <s v="Mid"/>
    <n v="2025"/>
    <s v="Stable"/>
  </r>
  <r>
    <s v="E051"/>
    <s v="Anjali"/>
    <s v="Male"/>
    <n v="31"/>
    <x v="3"/>
    <s v="Account Manager"/>
    <n v="66865"/>
    <n v="10"/>
    <d v="2021-01-13T00:00:00"/>
    <n v="5"/>
    <x v="0"/>
    <s v="Bangalore"/>
    <s v="Mid"/>
    <s v="Senior"/>
    <n v="2021"/>
    <s v="Stable"/>
  </r>
  <r>
    <s v="E052"/>
    <s v="Kavya"/>
    <s v="Female"/>
    <n v="37"/>
    <x v="3"/>
    <s v="Inside Sales"/>
    <n v="41371"/>
    <n v="0"/>
    <d v="2018-10-08T00:00:00"/>
    <n v="4"/>
    <x v="0"/>
    <s v="Chennai"/>
    <s v="Mid"/>
    <s v="Junior"/>
    <n v="2018"/>
    <s v="Stable"/>
  </r>
  <r>
    <s v="E053"/>
    <s v="Tarun"/>
    <s v="Female"/>
    <n v="40"/>
    <x v="2"/>
    <s v="HR Executive"/>
    <n v="34375"/>
    <n v="0"/>
    <d v="2022-03-17T00:00:00"/>
    <n v="4"/>
    <x v="0"/>
    <s v="Chennai"/>
    <s v="Mid"/>
    <s v="Junior"/>
    <n v="2022"/>
    <s v="Stable"/>
  </r>
  <r>
    <s v="E054"/>
    <s v="Sameer"/>
    <s v="Female"/>
    <n v="32"/>
    <x v="2"/>
    <s v="HR Executive"/>
    <n v="55449"/>
    <n v="6"/>
    <d v="2018-08-31T00:00:00"/>
    <n v="3"/>
    <x v="0"/>
    <s v="Chennai"/>
    <s v="Mid"/>
    <s v="Mid"/>
    <n v="2018"/>
    <s v="Stable"/>
  </r>
  <r>
    <s v="E055"/>
    <s v="Amit"/>
    <s v="Female"/>
    <n v="37"/>
    <x v="1"/>
    <s v="Senior Accountant"/>
    <n v="49272"/>
    <n v="0"/>
    <d v="2021-01-18T00:00:00"/>
    <n v="1"/>
    <x v="0"/>
    <s v="Delhi"/>
    <s v="Mid"/>
    <s v="Junior"/>
    <n v="2021"/>
    <s v="High Risk"/>
  </r>
  <r>
    <s v="E056"/>
    <s v="Divya"/>
    <s v="Male"/>
    <n v="28"/>
    <x v="0"/>
    <s v="Data Analyst"/>
    <n v="50179"/>
    <n v="0"/>
    <d v="2016-09-16T00:00:00"/>
    <n v="2"/>
    <x v="1"/>
    <s v="Delhi"/>
    <s v="Young"/>
    <s v="Junior"/>
    <n v="2016"/>
    <s v="Stable"/>
  </r>
  <r>
    <s v="E057"/>
    <s v="Imran"/>
    <s v="Male"/>
    <n v="44"/>
    <x v="0"/>
    <s v="QA Analyst"/>
    <n v="72564"/>
    <n v="8"/>
    <d v="2019-02-19T00:00:00"/>
    <n v="2"/>
    <x v="0"/>
    <s v="Delhi"/>
    <s v="Senior"/>
    <s v="Senior"/>
    <n v="2019"/>
    <s v="High Risk"/>
  </r>
  <r>
    <s v="E058"/>
    <s v="Sneha"/>
    <s v="Female"/>
    <n v="40"/>
    <x v="0"/>
    <s v="BI Developer"/>
    <n v="45111"/>
    <n v="0"/>
    <d v="2021-06-16T00:00:00"/>
    <n v="4"/>
    <x v="0"/>
    <s v="Delhi"/>
    <s v="Mid"/>
    <s v="Junior"/>
    <n v="2021"/>
    <s v="Stable"/>
  </r>
  <r>
    <s v="E059"/>
    <s v="Sneha"/>
    <s v="Male"/>
    <n v="44"/>
    <x v="2"/>
    <s v="HR Executive"/>
    <n v="66710"/>
    <n v="9"/>
    <d v="2021-09-25T00:00:00"/>
    <n v="1"/>
    <x v="0"/>
    <s v="Hyderabad"/>
    <s v="Senior"/>
    <s v="Senior"/>
    <n v="2021"/>
    <s v="High Risk"/>
  </r>
  <r>
    <s v="E060"/>
    <s v="Amit"/>
    <s v="Female"/>
    <n v="38"/>
    <x v="1"/>
    <s v="Senior Accountant"/>
    <n v="62207"/>
    <n v="10"/>
    <d v="2024-07-11T00:00:00"/>
    <n v="4"/>
    <x v="0"/>
    <s v="Hyderabad"/>
    <s v="Mid"/>
    <s v="Senior"/>
    <n v="2024"/>
    <s v="Stable"/>
  </r>
  <r>
    <s v="E061"/>
    <s v="Arjun"/>
    <s v="Female"/>
    <n v="35"/>
    <x v="3"/>
    <s v="Regional Manager"/>
    <n v="59522"/>
    <n v="5"/>
    <d v="2020-11-07T00:00:00"/>
    <n v="3"/>
    <x v="0"/>
    <s v="Pune"/>
    <s v="Mid"/>
    <s v="Mid"/>
    <n v="2020"/>
    <s v="Stable"/>
  </r>
  <r>
    <s v="E062"/>
    <s v="Tarun"/>
    <s v="Female"/>
    <n v="30"/>
    <x v="3"/>
    <s v="Account Manager"/>
    <n v="61522"/>
    <n v="9"/>
    <d v="2024-04-25T00:00:00"/>
    <n v="1"/>
    <x v="1"/>
    <s v="Chennai"/>
    <s v="Mid"/>
    <s v="Senior"/>
    <n v="2024"/>
    <s v="Stable"/>
  </r>
  <r>
    <s v="E063"/>
    <s v="Rohan"/>
    <s v="Female"/>
    <n v="22"/>
    <x v="2"/>
    <s v="HR Manager"/>
    <n v="40825"/>
    <n v="1"/>
    <d v="2017-01-14T00:00:00"/>
    <n v="4"/>
    <x v="0"/>
    <s v="Mumbai"/>
    <s v="Young"/>
    <s v="Junior"/>
    <n v="2017"/>
    <s v="Stable"/>
  </r>
  <r>
    <s v="E064"/>
    <s v="Ayesha"/>
    <s v="Female"/>
    <n v="22"/>
    <x v="1"/>
    <s v="Auditor"/>
    <n v="40902"/>
    <n v="1"/>
    <d v="2017-09-15T00:00:00"/>
    <n v="4"/>
    <x v="0"/>
    <s v="Bangalore"/>
    <s v="Young"/>
    <s v="Junior"/>
    <n v="2017"/>
    <s v="Stable"/>
  </r>
  <r>
    <s v="E065"/>
    <s v="Rahul"/>
    <s v="Female"/>
    <n v="24"/>
    <x v="3"/>
    <s v="Account Manager"/>
    <n v="46130"/>
    <n v="3"/>
    <d v="2019-07-15T00:00:00"/>
    <n v="2"/>
    <x v="1"/>
    <s v="Pune"/>
    <s v="Young"/>
    <s v="Mid"/>
    <n v="2019"/>
    <s v="Stable"/>
  </r>
  <r>
    <s v="E066"/>
    <s v="Kavya"/>
    <s v="Female"/>
    <n v="45"/>
    <x v="1"/>
    <s v="Senior Accountant"/>
    <n v="67764"/>
    <n v="10"/>
    <d v="2022-11-18T00:00:00"/>
    <n v="4"/>
    <x v="0"/>
    <s v="Mumbai"/>
    <s v="Senior"/>
    <s v="Senior"/>
    <n v="2022"/>
    <s v="Stable"/>
  </r>
  <r>
    <s v="E067"/>
    <s v="Rohan"/>
    <s v="Male"/>
    <n v="25"/>
    <x v="2"/>
    <s v="HR Executive"/>
    <n v="46138"/>
    <n v="4"/>
    <d v="2017-06-05T00:00:00"/>
    <n v="4"/>
    <x v="0"/>
    <s v="Pune"/>
    <s v="Young"/>
    <s v="Mid"/>
    <n v="2017"/>
    <s v="Stable"/>
  </r>
  <r>
    <s v="E068"/>
    <s v="Meena"/>
    <s v="Male"/>
    <n v="29"/>
    <x v="1"/>
    <s v="Accountant"/>
    <n v="59939"/>
    <n v="8"/>
    <d v="2018-05-23T00:00:00"/>
    <n v="1"/>
    <x v="0"/>
    <s v="Hyderabad"/>
    <s v="Young"/>
    <s v="Senior"/>
    <n v="2018"/>
    <s v="High Risk"/>
  </r>
  <r>
    <s v="E069"/>
    <s v="Arjun"/>
    <s v="Female"/>
    <n v="42"/>
    <x v="0"/>
    <s v="QA Analyst"/>
    <n v="79180"/>
    <n v="15"/>
    <d v="2024-10-14T00:00:00"/>
    <n v="1"/>
    <x v="0"/>
    <s v="Chennai"/>
    <s v="Senior"/>
    <s v="Senior"/>
    <n v="2024"/>
    <s v="High Risk"/>
  </r>
  <r>
    <s v="E070"/>
    <s v="Karan"/>
    <s v="Male"/>
    <n v="37"/>
    <x v="1"/>
    <s v="Financial Analyst"/>
    <n v="45570"/>
    <n v="3"/>
    <d v="2019-06-30T00:00:00"/>
    <n v="4"/>
    <x v="1"/>
    <s v="Delhi"/>
    <s v="Mid"/>
    <s v="Mid"/>
    <n v="2019"/>
    <s v="Stable"/>
  </r>
  <r>
    <s v="E071"/>
    <s v="Tarun"/>
    <s v="Male"/>
    <n v="31"/>
    <x v="0"/>
    <s v="BI Developer"/>
    <n v="49066"/>
    <n v="2"/>
    <d v="2016-04-30T00:00:00"/>
    <n v="5"/>
    <x v="0"/>
    <s v="Pune"/>
    <s v="Mid"/>
    <s v="Junior"/>
    <n v="2016"/>
    <s v="Stable"/>
  </r>
  <r>
    <s v="E072"/>
    <s v="Imran"/>
    <s v="Female"/>
    <n v="31"/>
    <x v="2"/>
    <s v="HR Manager"/>
    <n v="63003"/>
    <n v="10"/>
    <d v="2021-05-18T00:00:00"/>
    <n v="5"/>
    <x v="1"/>
    <s v="Delhi"/>
    <s v="Mid"/>
    <s v="Senior"/>
    <n v="2021"/>
    <s v="Stable"/>
  </r>
  <r>
    <s v="E073"/>
    <s v="Karan"/>
    <s v="Male"/>
    <n v="43"/>
    <x v="0"/>
    <s v="BI Developer"/>
    <n v="47573"/>
    <n v="2"/>
    <d v="2017-09-09T00:00:00"/>
    <n v="2"/>
    <x v="0"/>
    <s v="Chennai"/>
    <s v="Senior"/>
    <s v="Junior"/>
    <n v="2017"/>
    <s v="High Risk"/>
  </r>
  <r>
    <s v="E074"/>
    <s v="Priya"/>
    <s v="Female"/>
    <n v="29"/>
    <x v="3"/>
    <s v="Account Manager"/>
    <n v="66582"/>
    <n v="8"/>
    <d v="2018-03-04T00:00:00"/>
    <n v="4"/>
    <x v="1"/>
    <s v="Bangalore"/>
    <s v="Young"/>
    <s v="Senior"/>
    <n v="2018"/>
    <s v="Stable"/>
  </r>
  <r>
    <s v="E075"/>
    <s v="Sneha"/>
    <s v="Female"/>
    <n v="39"/>
    <x v="1"/>
    <s v="Financial Analyst"/>
    <n v="65110"/>
    <n v="7"/>
    <d v="2016-09-02T00:00:00"/>
    <n v="3"/>
    <x v="0"/>
    <s v="Hyderabad"/>
    <s v="Mid"/>
    <s v="Mid"/>
    <n v="2016"/>
    <s v="Stable"/>
  </r>
  <r>
    <s v="E076"/>
    <s v="Sana"/>
    <s v="Female"/>
    <n v="45"/>
    <x v="0"/>
    <s v="BI Developer"/>
    <n v="69695"/>
    <n v="9"/>
    <d v="2016-05-24T00:00:00"/>
    <n v="4"/>
    <x v="0"/>
    <s v="Delhi"/>
    <s v="Senior"/>
    <s v="Senior"/>
    <n v="2016"/>
    <s v="Stable"/>
  </r>
  <r>
    <s v="E077"/>
    <s v="Imran"/>
    <s v="Female"/>
    <n v="24"/>
    <x v="3"/>
    <s v="Regional Manager"/>
    <n v="44578"/>
    <n v="1"/>
    <d v="2023-03-28T00:00:00"/>
    <n v="3"/>
    <x v="0"/>
    <s v="Hyderabad"/>
    <s v="Young"/>
    <s v="Junior"/>
    <n v="2023"/>
    <s v="Stable"/>
  </r>
  <r>
    <s v="E078"/>
    <s v="Karan"/>
    <s v="Male"/>
    <n v="40"/>
    <x v="0"/>
    <s v="BI Developer"/>
    <n v="55002"/>
    <n v="1"/>
    <d v="2023-06-25T00:00:00"/>
    <n v="2"/>
    <x v="0"/>
    <s v="Mumbai"/>
    <s v="Mid"/>
    <s v="Junior"/>
    <n v="2023"/>
    <s v="High Risk"/>
  </r>
  <r>
    <s v="E079"/>
    <s v="Amit"/>
    <s v="Female"/>
    <n v="37"/>
    <x v="2"/>
    <s v="HR Manager"/>
    <n v="67190"/>
    <n v="11"/>
    <d v="2018-09-27T00:00:00"/>
    <n v="3"/>
    <x v="0"/>
    <s v="Bangalore"/>
    <s v="Mid"/>
    <s v="Senior"/>
    <n v="2018"/>
    <s v="Stable"/>
  </r>
  <r>
    <s v="E080"/>
    <s v="Meena"/>
    <s v="Female"/>
    <n v="43"/>
    <x v="1"/>
    <s v="Senior Accountant"/>
    <n v="79460"/>
    <n v="12"/>
    <d v="2021-03-03T00:00:00"/>
    <n v="1"/>
    <x v="0"/>
    <s v="Mumbai"/>
    <s v="Senior"/>
    <s v="Senior"/>
    <n v="2021"/>
    <s v="High Risk"/>
  </r>
  <r>
    <s v="E081"/>
    <s v="Ayesha"/>
    <s v="Male"/>
    <n v="36"/>
    <x v="0"/>
    <s v="Python Developer"/>
    <n v="73388"/>
    <n v="13"/>
    <d v="2017-02-07T00:00:00"/>
    <n v="5"/>
    <x v="0"/>
    <s v="Chennai"/>
    <s v="Mid"/>
    <s v="Senior"/>
    <n v="2017"/>
    <s v="Stable"/>
  </r>
  <r>
    <s v="E082"/>
    <s v="Karan"/>
    <s v="Male"/>
    <n v="39"/>
    <x v="3"/>
    <s v="Sales Executive"/>
    <n v="49719"/>
    <n v="4"/>
    <d v="2019-11-30T00:00:00"/>
    <n v="4"/>
    <x v="0"/>
    <s v="Delhi"/>
    <s v="Mid"/>
    <s v="Mid"/>
    <n v="2019"/>
    <s v="Stable"/>
  </r>
  <r>
    <s v="E083"/>
    <s v="Ayesha"/>
    <s v="Female"/>
    <n v="22"/>
    <x v="2"/>
    <s v="Talent Acquisition"/>
    <n v="37027"/>
    <n v="1"/>
    <d v="2017-07-09T00:00:00"/>
    <n v="1"/>
    <x v="0"/>
    <s v="Bangalore"/>
    <s v="Young"/>
    <s v="Junior"/>
    <n v="2017"/>
    <s v="High Risk"/>
  </r>
  <r>
    <s v="E084"/>
    <s v="Kavya"/>
    <s v="Female"/>
    <n v="37"/>
    <x v="3"/>
    <s v="Regional Manager"/>
    <n v="76493"/>
    <n v="15"/>
    <d v="2020-02-14T00:00:00"/>
    <n v="5"/>
    <x v="0"/>
    <s v="Bangalore"/>
    <s v="Mid"/>
    <s v="Senior"/>
    <n v="2020"/>
    <s v="Stable"/>
  </r>
  <r>
    <s v="E085"/>
    <s v="Kavya"/>
    <s v="Female"/>
    <n v="32"/>
    <x v="2"/>
    <s v="HR Executive"/>
    <n v="53042"/>
    <n v="8"/>
    <d v="2018-03-04T00:00:00"/>
    <n v="3"/>
    <x v="0"/>
    <s v="Pune"/>
    <s v="Mid"/>
    <s v="Senior"/>
    <n v="2018"/>
    <s v="Stable"/>
  </r>
  <r>
    <s v="E086"/>
    <s v="Ayesha"/>
    <s v="Female"/>
    <n v="37"/>
    <x v="3"/>
    <s v="Inside Sales"/>
    <n v="67946"/>
    <n v="11"/>
    <d v="2021-03-10T00:00:00"/>
    <n v="5"/>
    <x v="0"/>
    <s v="Mumbai"/>
    <s v="Mid"/>
    <s v="Senior"/>
    <n v="2021"/>
    <s v="Stable"/>
  </r>
  <r>
    <s v="E087"/>
    <s v="Divya"/>
    <s v="Female"/>
    <n v="35"/>
    <x v="2"/>
    <s v="Talent Acquisition"/>
    <n v="40713"/>
    <n v="1"/>
    <d v="2023-05-09T00:00:00"/>
    <n v="4"/>
    <x v="0"/>
    <s v="Chennai"/>
    <s v="Mid"/>
    <s v="Junior"/>
    <n v="2023"/>
    <s v="Stable"/>
  </r>
  <r>
    <s v="E088"/>
    <s v="Priya"/>
    <s v="Female"/>
    <n v="26"/>
    <x v="3"/>
    <s v="Inside Sales"/>
    <n v="49144"/>
    <n v="5"/>
    <d v="2024-10-20T00:00:00"/>
    <n v="4"/>
    <x v="0"/>
    <s v="Chennai"/>
    <s v="Young"/>
    <s v="Mid"/>
    <n v="2024"/>
    <s v="Stable"/>
  </r>
  <r>
    <s v="E089"/>
    <s v="Arjun"/>
    <s v="Female"/>
    <n v="24"/>
    <x v="0"/>
    <s v="BI Developer"/>
    <n v="60304"/>
    <n v="3"/>
    <d v="2025-11-13T00:00:00"/>
    <n v="3"/>
    <x v="0"/>
    <s v="Delhi"/>
    <s v="Young"/>
    <s v="Mid"/>
    <n v="2025"/>
    <s v="Stable"/>
  </r>
  <r>
    <s v="E090"/>
    <s v="Ayesha"/>
    <s v="Female"/>
    <n v="34"/>
    <x v="3"/>
    <s v="Sales Executive"/>
    <n v="70269"/>
    <n v="10"/>
    <d v="2023-01-22T00:00:00"/>
    <n v="4"/>
    <x v="0"/>
    <s v="Hyderabad"/>
    <s v="Mid"/>
    <s v="Senior"/>
    <n v="2023"/>
    <s v="Stable"/>
  </r>
  <r>
    <s v="E091"/>
    <s v="Divya"/>
    <s v="Female"/>
    <n v="45"/>
    <x v="0"/>
    <s v="BI Developer"/>
    <n v="52110"/>
    <n v="2"/>
    <d v="2016-02-08T00:00:00"/>
    <n v="1"/>
    <x v="1"/>
    <s v="Delhi"/>
    <s v="Senior"/>
    <s v="Junior"/>
    <n v="2016"/>
    <s v="Stable"/>
  </r>
  <r>
    <s v="E092"/>
    <s v="Rohan"/>
    <s v="Male"/>
    <n v="23"/>
    <x v="1"/>
    <s v="Accountant"/>
    <n v="47873"/>
    <n v="2"/>
    <d v="2019-03-16T00:00:00"/>
    <n v="4"/>
    <x v="0"/>
    <s v="Pune"/>
    <s v="Young"/>
    <s v="Junior"/>
    <n v="2019"/>
    <s v="Stable"/>
  </r>
  <r>
    <s v="E093"/>
    <s v="Neha"/>
    <s v="Male"/>
    <n v="24"/>
    <x v="3"/>
    <s v="Inside Sales"/>
    <n v="52653"/>
    <n v="3"/>
    <d v="2022-08-30T00:00:00"/>
    <n v="2"/>
    <x v="0"/>
    <s v="Bangalore"/>
    <s v="Young"/>
    <s v="Mid"/>
    <n v="2022"/>
    <s v="High Risk"/>
  </r>
  <r>
    <s v="E094"/>
    <s v="Karan"/>
    <s v="Female"/>
    <n v="43"/>
    <x v="3"/>
    <s v="Regional Manager"/>
    <n v="42622"/>
    <n v="0"/>
    <d v="2025-02-08T00:00:00"/>
    <n v="3"/>
    <x v="0"/>
    <s v="Bangalore"/>
    <s v="Senior"/>
    <s v="Junior"/>
    <n v="2025"/>
    <s v="Stable"/>
  </r>
  <r>
    <s v="E095"/>
    <s v="Tarun"/>
    <s v="Female"/>
    <n v="31"/>
    <x v="0"/>
    <s v="Python Developer"/>
    <n v="76310"/>
    <n v="10"/>
    <d v="2017-10-21T00:00:00"/>
    <n v="4"/>
    <x v="0"/>
    <s v="Bangalore"/>
    <s v="Mid"/>
    <s v="Senior"/>
    <n v="2017"/>
    <s v="Stable"/>
  </r>
  <r>
    <s v="E096"/>
    <s v="Divya"/>
    <s v="Male"/>
    <n v="34"/>
    <x v="3"/>
    <s v="Account Manager"/>
    <n v="71917"/>
    <n v="11"/>
    <d v="2018-04-26T00:00:00"/>
    <n v="3"/>
    <x v="1"/>
    <s v="Delhi"/>
    <s v="Mid"/>
    <s v="Senior"/>
    <n v="2018"/>
    <s v="Stable"/>
  </r>
  <r>
    <s v="E097"/>
    <s v="Tarun"/>
    <s v="Male"/>
    <n v="43"/>
    <x v="3"/>
    <s v="Regional Manager"/>
    <n v="47435"/>
    <n v="1"/>
    <d v="2023-05-11T00:00:00"/>
    <n v="4"/>
    <x v="0"/>
    <s v="Mumbai"/>
    <s v="Senior"/>
    <s v="Junior"/>
    <n v="2023"/>
    <s v="Stable"/>
  </r>
  <r>
    <s v="E098"/>
    <s v="Vikram"/>
    <s v="Male"/>
    <n v="41"/>
    <x v="2"/>
    <s v="HR Associate"/>
    <n v="64104"/>
    <n v="8"/>
    <d v="2023-06-22T00:00:00"/>
    <n v="2"/>
    <x v="0"/>
    <s v="Delhi"/>
    <s v="Senior"/>
    <s v="Senior"/>
    <n v="2023"/>
    <s v="High Risk"/>
  </r>
  <r>
    <s v="E099"/>
    <s v="Priya"/>
    <s v="Female"/>
    <n v="40"/>
    <x v="0"/>
    <s v="Support Engineer"/>
    <n v="79498"/>
    <n v="11"/>
    <d v="2016-06-22T00:00:00"/>
    <n v="1"/>
    <x v="0"/>
    <s v="Chennai"/>
    <s v="Mid"/>
    <s v="Senior"/>
    <n v="2016"/>
    <s v="High Risk"/>
  </r>
  <r>
    <s v="E100"/>
    <s v="Ayesha"/>
    <s v="Male"/>
    <n v="33"/>
    <x v="2"/>
    <s v="Talent Acquisition"/>
    <n v="55695"/>
    <n v="8"/>
    <d v="2017-11-18T00:00:00"/>
    <n v="4"/>
    <x v="0"/>
    <s v="Mumbai"/>
    <s v="Mid"/>
    <s v="Senior"/>
    <n v="2017"/>
    <s v="Stable"/>
  </r>
  <r>
    <s v="E101"/>
    <s v="Amit"/>
    <s v="Female"/>
    <n v="26"/>
    <x v="1"/>
    <s v="Accountant"/>
    <n v="60580"/>
    <n v="5"/>
    <d v="2023-02-14T00:00:00"/>
    <n v="4"/>
    <x v="0"/>
    <s v="Pune"/>
    <s v="Young"/>
    <s v="Mid"/>
    <n v="2023"/>
    <s v="Stable"/>
  </r>
  <r>
    <s v="E102"/>
    <s v="Rahul"/>
    <s v="Female"/>
    <n v="30"/>
    <x v="1"/>
    <s v="Accountant"/>
    <n v="51951"/>
    <n v="3"/>
    <d v="2019-02-18T00:00:00"/>
    <n v="3"/>
    <x v="0"/>
    <s v="Delhi"/>
    <s v="Mid"/>
    <s v="Mid"/>
    <n v="2019"/>
    <s v="Stable"/>
  </r>
  <r>
    <s v="E103"/>
    <s v="Pooja"/>
    <s v="Male"/>
    <n v="22"/>
    <x v="1"/>
    <s v="Accountant"/>
    <n v="49495"/>
    <n v="1"/>
    <d v="2017-06-25T00:00:00"/>
    <n v="1"/>
    <x v="0"/>
    <s v="Delhi"/>
    <s v="Young"/>
    <s v="Junior"/>
    <n v="2017"/>
    <s v="High Risk"/>
  </r>
  <r>
    <s v="E104"/>
    <s v="Arjun"/>
    <s v="Male"/>
    <n v="23"/>
    <x v="1"/>
    <s v="Senior Accountant"/>
    <n v="44486"/>
    <n v="1"/>
    <d v="2020-07-10T00:00:00"/>
    <n v="1"/>
    <x v="1"/>
    <s v="Pune"/>
    <s v="Young"/>
    <s v="Junior"/>
    <n v="2020"/>
    <s v="Stable"/>
  </r>
  <r>
    <s v="E105"/>
    <s v="Anjali"/>
    <s v="Female"/>
    <n v="43"/>
    <x v="2"/>
    <s v="HR Manager"/>
    <n v="75122"/>
    <n v="13"/>
    <d v="2023-04-29T00:00:00"/>
    <n v="2"/>
    <x v="0"/>
    <s v="Chennai"/>
    <s v="Senior"/>
    <s v="Senior"/>
    <n v="2023"/>
    <s v="High Risk"/>
  </r>
  <r>
    <s v="E106"/>
    <s v="Anjali"/>
    <s v="Male"/>
    <n v="28"/>
    <x v="3"/>
    <s v="Regional Manager"/>
    <n v="59785"/>
    <n v="7"/>
    <d v="2025-08-29T00:00:00"/>
    <n v="2"/>
    <x v="0"/>
    <s v="Delhi"/>
    <s v="Young"/>
    <s v="Mid"/>
    <n v="2025"/>
    <s v="High Risk"/>
  </r>
  <r>
    <s v="E107"/>
    <s v="Sameer"/>
    <s v="Male"/>
    <n v="30"/>
    <x v="1"/>
    <s v="Auditor"/>
    <n v="54001"/>
    <n v="6"/>
    <d v="2025-08-23T00:00:00"/>
    <n v="4"/>
    <x v="0"/>
    <s v="Bangalore"/>
    <s v="Mid"/>
    <s v="Mid"/>
    <n v="2025"/>
    <s v="Stable"/>
  </r>
  <r>
    <s v="E108"/>
    <s v="Divya"/>
    <s v="Female"/>
    <n v="26"/>
    <x v="0"/>
    <s v="Data Analyst"/>
    <n v="53624"/>
    <n v="5"/>
    <d v="2024-04-21T00:00:00"/>
    <n v="5"/>
    <x v="0"/>
    <s v="Bangalore"/>
    <s v="Young"/>
    <s v="Mid"/>
    <n v="2024"/>
    <s v="Stable"/>
  </r>
  <r>
    <s v="E109"/>
    <s v="Sana"/>
    <s v="Male"/>
    <n v="22"/>
    <x v="2"/>
    <s v="HR Associate"/>
    <n v="37870"/>
    <n v="1"/>
    <d v="2016-06-16T00:00:00"/>
    <n v="5"/>
    <x v="0"/>
    <s v="Bangalore"/>
    <s v="Young"/>
    <s v="Junior"/>
    <n v="2016"/>
    <s v="Stable"/>
  </r>
  <r>
    <s v="E110"/>
    <s v="Rahul"/>
    <s v="Male"/>
    <n v="33"/>
    <x v="0"/>
    <s v="Data Analyst"/>
    <n v="67147"/>
    <n v="7"/>
    <d v="2018-08-19T00:00:00"/>
    <n v="1"/>
    <x v="1"/>
    <s v="Hyderabad"/>
    <s v="Mid"/>
    <s v="Mid"/>
    <n v="2018"/>
    <s v="Stable"/>
  </r>
  <r>
    <s v="E111"/>
    <s v="Amit"/>
    <s v="Male"/>
    <n v="37"/>
    <x v="2"/>
    <s v="HR Manager"/>
    <n v="80747"/>
    <n v="14"/>
    <d v="2019-01-22T00:00:00"/>
    <n v="5"/>
    <x v="0"/>
    <s v="Chennai"/>
    <s v="Mid"/>
    <s v="Senior"/>
    <n v="2019"/>
    <s v="Stable"/>
  </r>
  <r>
    <s v="E112"/>
    <s v="Imran"/>
    <s v="Female"/>
    <n v="42"/>
    <x v="2"/>
    <s v="HR Executive"/>
    <n v="33996"/>
    <n v="0"/>
    <d v="2020-05-15T00:00:00"/>
    <n v="4"/>
    <x v="0"/>
    <s v="Hyderabad"/>
    <s v="Senior"/>
    <s v="Junior"/>
    <n v="2020"/>
    <s v="Stable"/>
  </r>
  <r>
    <s v="E113"/>
    <s v="Amit"/>
    <s v="Male"/>
    <n v="32"/>
    <x v="3"/>
    <s v="Account Manager"/>
    <n v="46076"/>
    <n v="4"/>
    <d v="2016-05-31T00:00:00"/>
    <n v="3"/>
    <x v="0"/>
    <s v="Pune"/>
    <s v="Mid"/>
    <s v="Mid"/>
    <n v="2016"/>
    <s v="Stable"/>
  </r>
  <r>
    <s v="E114"/>
    <s v="Imran"/>
    <s v="Female"/>
    <n v="38"/>
    <x v="1"/>
    <s v="Senior Accountant"/>
    <n v="71124"/>
    <n v="13"/>
    <d v="2023-11-23T00:00:00"/>
    <n v="1"/>
    <x v="0"/>
    <s v="Pune"/>
    <s v="Mid"/>
    <s v="Senior"/>
    <n v="2023"/>
    <s v="High Risk"/>
  </r>
  <r>
    <s v="E115"/>
    <s v="Divya"/>
    <s v="Female"/>
    <n v="35"/>
    <x v="2"/>
    <s v="HR Manager"/>
    <n v="65430"/>
    <n v="10"/>
    <d v="2019-06-22T00:00:00"/>
    <n v="4"/>
    <x v="0"/>
    <s v="Mumbai"/>
    <s v="Mid"/>
    <s v="Senior"/>
    <n v="2019"/>
    <s v="Stable"/>
  </r>
  <r>
    <s v="E116"/>
    <s v="Anjali"/>
    <s v="Female"/>
    <n v="26"/>
    <x v="3"/>
    <s v="Regional Manager"/>
    <n v="48599"/>
    <n v="5"/>
    <d v="2016-01-09T00:00:00"/>
    <n v="1"/>
    <x v="1"/>
    <s v="Hyderabad"/>
    <s v="Young"/>
    <s v="Mid"/>
    <n v="2016"/>
    <s v="Stable"/>
  </r>
  <r>
    <s v="E117"/>
    <s v="Tarun"/>
    <s v="Male"/>
    <n v="39"/>
    <x v="1"/>
    <s v="Financial Analyst"/>
    <n v="72977"/>
    <n v="10"/>
    <d v="2016-05-15T00:00:00"/>
    <n v="4"/>
    <x v="0"/>
    <s v="Delhi"/>
    <s v="Mid"/>
    <s v="Senior"/>
    <n v="2016"/>
    <s v="Stable"/>
  </r>
  <r>
    <s v="E118"/>
    <s v="Sana"/>
    <s v="Female"/>
    <n v="31"/>
    <x v="3"/>
    <s v="Sales Executive"/>
    <n v="61697"/>
    <n v="10"/>
    <d v="2021-06-25T00:00:00"/>
    <n v="5"/>
    <x v="0"/>
    <s v="Delhi"/>
    <s v="Mid"/>
    <s v="Senior"/>
    <n v="2021"/>
    <s v="Stable"/>
  </r>
  <r>
    <s v="E119"/>
    <s v="Anjali"/>
    <s v="Male"/>
    <n v="39"/>
    <x v="3"/>
    <s v="Inside Sales"/>
    <n v="64382"/>
    <n v="11"/>
    <d v="2023-07-21T00:00:00"/>
    <n v="3"/>
    <x v="0"/>
    <s v="Chennai"/>
    <s v="Mid"/>
    <s v="Senior"/>
    <n v="2023"/>
    <s v="Stable"/>
  </r>
  <r>
    <s v="E120"/>
    <s v="Rahul"/>
    <s v="Female"/>
    <n v="27"/>
    <x v="0"/>
    <s v="QA Analyst"/>
    <n v="66513"/>
    <n v="6"/>
    <d v="2023-07-20T00:00:00"/>
    <n v="3"/>
    <x v="0"/>
    <s v="Mumbai"/>
    <s v="Young"/>
    <s v="Mid"/>
    <n v="2023"/>
    <s v="Stable"/>
  </r>
  <r>
    <s v="E121"/>
    <s v="Tarun"/>
    <s v="Male"/>
    <n v="43"/>
    <x v="0"/>
    <s v="BI Developer"/>
    <n v="71140"/>
    <n v="12"/>
    <d v="2016-08-04T00:00:00"/>
    <n v="1"/>
    <x v="1"/>
    <s v="Pune"/>
    <s v="Senior"/>
    <s v="Senior"/>
    <n v="2016"/>
    <s v="Stable"/>
  </r>
  <r>
    <s v="E122"/>
    <s v="Imran"/>
    <s v="Female"/>
    <n v="32"/>
    <x v="2"/>
    <s v="HR Manager"/>
    <n v="51562"/>
    <n v="5"/>
    <d v="2018-06-30T00:00:00"/>
    <n v="3"/>
    <x v="0"/>
    <s v="Pune"/>
    <s v="Mid"/>
    <s v="Mid"/>
    <n v="2018"/>
    <s v="Stable"/>
  </r>
  <r>
    <s v="E123"/>
    <s v="Neha"/>
    <s v="Male"/>
    <n v="41"/>
    <x v="0"/>
    <s v="Data Analyst"/>
    <n v="53542"/>
    <n v="1"/>
    <d v="2015-12-01T00:00:00"/>
    <n v="3"/>
    <x v="0"/>
    <s v="Chennai"/>
    <s v="Senior"/>
    <s v="Junior"/>
    <n v="2015"/>
    <s v="Stable"/>
  </r>
  <r>
    <s v="E124"/>
    <s v="Karan"/>
    <s v="Female"/>
    <n v="28"/>
    <x v="3"/>
    <s v="Account Manager"/>
    <n v="48155"/>
    <n v="3"/>
    <d v="2019-10-27T00:00:00"/>
    <n v="1"/>
    <x v="1"/>
    <s v="Delhi"/>
    <s v="Young"/>
    <s v="Mid"/>
    <n v="2019"/>
    <s v="Stable"/>
  </r>
  <r>
    <s v="E125"/>
    <s v="Divya"/>
    <s v="Male"/>
    <n v="34"/>
    <x v="3"/>
    <s v="Regional Manager"/>
    <n v="37625"/>
    <n v="1"/>
    <d v="2017-04-17T00:00:00"/>
    <n v="3"/>
    <x v="0"/>
    <s v="Bangalore"/>
    <s v="Mid"/>
    <s v="Junior"/>
    <n v="2017"/>
    <s v="Stable"/>
  </r>
  <r>
    <s v="E126"/>
    <s v="Sneha"/>
    <s v="Female"/>
    <n v="22"/>
    <x v="1"/>
    <s v="Auditor"/>
    <n v="51739"/>
    <n v="1"/>
    <d v="2019-10-30T00:00:00"/>
    <n v="2"/>
    <x v="1"/>
    <s v="Pune"/>
    <s v="Young"/>
    <s v="Junior"/>
    <n v="2019"/>
    <s v="Stable"/>
  </r>
  <r>
    <s v="E127"/>
    <s v="Sameer"/>
    <s v="Male"/>
    <n v="45"/>
    <x v="2"/>
    <s v="HR Associate"/>
    <n v="42647"/>
    <n v="1"/>
    <d v="2015-03-18T00:00:00"/>
    <n v="4"/>
    <x v="0"/>
    <s v="Mumbai"/>
    <s v="Senior"/>
    <s v="Junior"/>
    <n v="2015"/>
    <s v="Stable"/>
  </r>
  <r>
    <s v="E128"/>
    <s v="Meena"/>
    <s v="Female"/>
    <n v="25"/>
    <x v="3"/>
    <s v="Account Manager"/>
    <n v="45341"/>
    <n v="4"/>
    <d v="2025-11-01T00:00:00"/>
    <n v="3"/>
    <x v="0"/>
    <s v="Pune"/>
    <s v="Young"/>
    <s v="Mid"/>
    <n v="2025"/>
    <s v="Stable"/>
  </r>
  <r>
    <s v="E129"/>
    <s v="Kavya"/>
    <s v="Male"/>
    <n v="25"/>
    <x v="3"/>
    <s v="Regional Manager"/>
    <n v="52138"/>
    <n v="4"/>
    <d v="2021-08-09T00:00:00"/>
    <n v="4"/>
    <x v="0"/>
    <s v="Chennai"/>
    <s v="Young"/>
    <s v="Mid"/>
    <n v="2021"/>
    <s v="Stable"/>
  </r>
  <r>
    <s v="E130"/>
    <s v="Rohan"/>
    <s v="Male"/>
    <n v="27"/>
    <x v="1"/>
    <s v="Auditor"/>
    <n v="50363"/>
    <n v="2"/>
    <d v="2022-02-06T00:00:00"/>
    <n v="1"/>
    <x v="0"/>
    <s v="Mumbai"/>
    <s v="Young"/>
    <s v="Junior"/>
    <n v="2022"/>
    <s v="High Risk"/>
  </r>
  <r>
    <s v="E131"/>
    <s v="Sneha"/>
    <s v="Male"/>
    <n v="26"/>
    <x v="1"/>
    <s v="Financial Analyst"/>
    <n v="52732"/>
    <n v="5"/>
    <d v="2016-12-11T00:00:00"/>
    <n v="5"/>
    <x v="0"/>
    <s v="Delhi"/>
    <s v="Young"/>
    <s v="Mid"/>
    <n v="2016"/>
    <s v="Stable"/>
  </r>
  <r>
    <s v="E132"/>
    <s v="Imran"/>
    <s v="Female"/>
    <n v="40"/>
    <x v="0"/>
    <s v="BI Developer"/>
    <n v="86159"/>
    <n v="14"/>
    <d v="2025-05-13T00:00:00"/>
    <n v="5"/>
    <x v="0"/>
    <s v="Pune"/>
    <s v="Mid"/>
    <s v="Senior"/>
    <n v="2025"/>
    <s v="Stable"/>
  </r>
  <r>
    <s v="E133"/>
    <s v="Imran"/>
    <s v="Male"/>
    <n v="24"/>
    <x v="1"/>
    <s v="Auditor"/>
    <n v="51745"/>
    <n v="3"/>
    <d v="2022-01-30T00:00:00"/>
    <n v="3"/>
    <x v="0"/>
    <s v="Pune"/>
    <s v="Young"/>
    <s v="Mid"/>
    <n v="2022"/>
    <s v="Stable"/>
  </r>
  <r>
    <s v="E134"/>
    <s v="Meena"/>
    <s v="Male"/>
    <n v="36"/>
    <x v="0"/>
    <s v="Support Engineer"/>
    <n v="75616"/>
    <n v="14"/>
    <d v="2015-08-22T00:00:00"/>
    <n v="3"/>
    <x v="0"/>
    <s v="Hyderabad"/>
    <s v="Mid"/>
    <s v="Senior"/>
    <n v="2015"/>
    <s v="Stable"/>
  </r>
  <r>
    <s v="E135"/>
    <s v="Imran"/>
    <s v="Female"/>
    <n v="40"/>
    <x v="0"/>
    <s v="QA Analyst"/>
    <n v="49868"/>
    <n v="1"/>
    <d v="2025-03-12T00:00:00"/>
    <n v="5"/>
    <x v="0"/>
    <s v="Mumbai"/>
    <s v="Mid"/>
    <s v="Junior"/>
    <n v="2025"/>
    <s v="Stable"/>
  </r>
  <r>
    <s v="E136"/>
    <s v="Imran"/>
    <s v="Male"/>
    <n v="25"/>
    <x v="3"/>
    <s v="Inside Sales"/>
    <n v="56703"/>
    <n v="4"/>
    <d v="2015-12-12T00:00:00"/>
    <n v="5"/>
    <x v="0"/>
    <s v="Hyderabad"/>
    <s v="Young"/>
    <s v="Mid"/>
    <n v="2015"/>
    <s v="Stable"/>
  </r>
  <r>
    <s v="E137"/>
    <s v="Nikhil"/>
    <s v="Female"/>
    <n v="38"/>
    <x v="2"/>
    <s v="HR Manager"/>
    <n v="51462"/>
    <n v="5"/>
    <d v="2019-03-08T00:00:00"/>
    <n v="3"/>
    <x v="0"/>
    <s v="Mumbai"/>
    <s v="Mid"/>
    <s v="Mid"/>
    <n v="2019"/>
    <s v="Stable"/>
  </r>
  <r>
    <s v="E138"/>
    <s v="Rohan"/>
    <s v="Male"/>
    <n v="25"/>
    <x v="0"/>
    <s v="Support Engineer"/>
    <n v="54655"/>
    <n v="4"/>
    <d v="2017-10-29T00:00:00"/>
    <n v="5"/>
    <x v="0"/>
    <s v="Mumbai"/>
    <s v="Young"/>
    <s v="Mid"/>
    <n v="2017"/>
    <s v="Stable"/>
  </r>
  <r>
    <s v="E139"/>
    <s v="Anjali"/>
    <s v="Male"/>
    <n v="31"/>
    <x v="0"/>
    <s v="QA Analyst"/>
    <n v="67112"/>
    <n v="10"/>
    <d v="2021-09-03T00:00:00"/>
    <n v="1"/>
    <x v="1"/>
    <s v="Chennai"/>
    <s v="Mid"/>
    <s v="Senior"/>
    <n v="2021"/>
    <s v="Stable"/>
  </r>
  <r>
    <s v="E140"/>
    <s v="Kavya"/>
    <s v="Male"/>
    <n v="38"/>
    <x v="1"/>
    <s v="Financial Analyst"/>
    <n v="64798"/>
    <n v="11"/>
    <d v="2019-01-25T00:00:00"/>
    <n v="3"/>
    <x v="0"/>
    <s v="Bangalore"/>
    <s v="Mid"/>
    <s v="Senior"/>
    <n v="2019"/>
    <s v="Stable"/>
  </r>
  <r>
    <s v="E141"/>
    <s v="Divya"/>
    <s v="Male"/>
    <n v="26"/>
    <x v="1"/>
    <s v="Senior Accountant"/>
    <n v="48264"/>
    <n v="4"/>
    <d v="2018-04-26T00:00:00"/>
    <n v="1"/>
    <x v="0"/>
    <s v="Delhi"/>
    <s v="Young"/>
    <s v="Mid"/>
    <n v="2018"/>
    <s v="High Risk"/>
  </r>
  <r>
    <s v="E142"/>
    <s v="Sana"/>
    <s v="Male"/>
    <n v="34"/>
    <x v="0"/>
    <s v="Support Engineer"/>
    <n v="52658"/>
    <n v="4"/>
    <d v="2017-01-10T00:00:00"/>
    <n v="5"/>
    <x v="0"/>
    <s v="Bangalore"/>
    <s v="Mid"/>
    <s v="Mid"/>
    <n v="2017"/>
    <s v="Stable"/>
  </r>
  <r>
    <s v="E143"/>
    <s v="Anjali"/>
    <s v="Female"/>
    <n v="43"/>
    <x v="3"/>
    <s v="Sales Executive"/>
    <n v="59777"/>
    <n v="7"/>
    <d v="2021-11-05T00:00:00"/>
    <n v="3"/>
    <x v="0"/>
    <s v="Chennai"/>
    <s v="Senior"/>
    <s v="Mid"/>
    <n v="2021"/>
    <s v="Stable"/>
  </r>
  <r>
    <s v="E144"/>
    <s v="Pooja"/>
    <s v="Female"/>
    <n v="28"/>
    <x v="2"/>
    <s v="Talent Acquisition"/>
    <n v="61613"/>
    <n v="7"/>
    <d v="2025-08-15T00:00:00"/>
    <n v="5"/>
    <x v="0"/>
    <s v="Chennai"/>
    <s v="Young"/>
    <s v="Mid"/>
    <n v="2025"/>
    <s v="Stable"/>
  </r>
  <r>
    <s v="E145"/>
    <s v="Neha"/>
    <s v="Female"/>
    <n v="28"/>
    <x v="1"/>
    <s v="Senior Accountant"/>
    <n v="51096"/>
    <n v="4"/>
    <d v="2015-08-02T00:00:00"/>
    <n v="4"/>
    <x v="0"/>
    <s v="Pune"/>
    <s v="Young"/>
    <s v="Mid"/>
    <n v="2015"/>
    <s v="Stable"/>
  </r>
  <r>
    <s v="E146"/>
    <s v="Meena"/>
    <s v="Male"/>
    <n v="24"/>
    <x v="0"/>
    <s v="QA Analyst"/>
    <n v="51969"/>
    <n v="3"/>
    <d v="2020-01-15T00:00:00"/>
    <n v="5"/>
    <x v="0"/>
    <s v="Chennai"/>
    <s v="Young"/>
    <s v="Mid"/>
    <n v="2020"/>
    <s v="Stable"/>
  </r>
  <r>
    <s v="E147"/>
    <s v="Anjali"/>
    <s v="Female"/>
    <n v="22"/>
    <x v="0"/>
    <s v="BI Developer"/>
    <n v="43372"/>
    <n v="1"/>
    <d v="2019-06-12T00:00:00"/>
    <n v="5"/>
    <x v="0"/>
    <s v="Chennai"/>
    <s v="Young"/>
    <s v="Junior"/>
    <n v="2019"/>
    <s v="Stable"/>
  </r>
  <r>
    <s v="E148"/>
    <s v="Rahul"/>
    <s v="Male"/>
    <n v="32"/>
    <x v="0"/>
    <s v="Support Engineer"/>
    <n v="59209"/>
    <n v="3"/>
    <d v="2022-04-16T00:00:00"/>
    <n v="3"/>
    <x v="0"/>
    <s v="Bangalore"/>
    <s v="Mid"/>
    <s v="Mid"/>
    <n v="2022"/>
    <s v="Stable"/>
  </r>
  <r>
    <s v="E149"/>
    <s v="Arjun"/>
    <s v="Female"/>
    <n v="44"/>
    <x v="0"/>
    <s v="Support Engineer"/>
    <n v="84849"/>
    <n v="15"/>
    <d v="2021-11-25T00:00:00"/>
    <n v="1"/>
    <x v="1"/>
    <s v="Bangalore"/>
    <s v="Senior"/>
    <s v="Senior"/>
    <n v="2021"/>
    <s v="Stable"/>
  </r>
  <r>
    <s v="E150"/>
    <s v="Meena"/>
    <s v="Male"/>
    <n v="29"/>
    <x v="2"/>
    <s v="HR Manager"/>
    <n v="54996"/>
    <n v="8"/>
    <d v="2015-07-15T00:00:00"/>
    <n v="2"/>
    <x v="1"/>
    <s v="Pune"/>
    <s v="Young"/>
    <s v="Senior"/>
    <n v="2015"/>
    <s v="Stable"/>
  </r>
  <r>
    <s v="E151"/>
    <s v="Pooja"/>
    <s v="Male"/>
    <n v="41"/>
    <x v="3"/>
    <s v="Sales Executive"/>
    <n v="45353"/>
    <n v="0"/>
    <d v="2020-10-11T00:00:00"/>
    <n v="5"/>
    <x v="0"/>
    <s v="Bangalore"/>
    <s v="Senior"/>
    <s v="Junior"/>
    <n v="2020"/>
    <s v="Stable"/>
  </r>
  <r>
    <s v="E152"/>
    <s v="Sana"/>
    <s v="Male"/>
    <n v="33"/>
    <x v="1"/>
    <s v="Senior Accountant"/>
    <n v="63849"/>
    <n v="7"/>
    <d v="2019-09-03T00:00:00"/>
    <n v="2"/>
    <x v="0"/>
    <s v="Mumbai"/>
    <s v="Mid"/>
    <s v="Mid"/>
    <n v="2019"/>
    <s v="High Risk"/>
  </r>
  <r>
    <s v="E153"/>
    <s v="Sameer"/>
    <s v="Male"/>
    <n v="37"/>
    <x v="0"/>
    <s v="QA Analyst"/>
    <n v="52914"/>
    <n v="1"/>
    <d v="2019-05-04T00:00:00"/>
    <n v="3"/>
    <x v="0"/>
    <s v="Hyderabad"/>
    <s v="Mid"/>
    <s v="Junior"/>
    <n v="2019"/>
    <s v="Stable"/>
  </r>
  <r>
    <s v="E154"/>
    <s v="Divya"/>
    <s v="Female"/>
    <n v="45"/>
    <x v="1"/>
    <s v="Accountant"/>
    <n v="57140"/>
    <n v="3"/>
    <d v="2021-07-11T00:00:00"/>
    <n v="3"/>
    <x v="0"/>
    <s v="Mumbai"/>
    <s v="Senior"/>
    <s v="Mid"/>
    <n v="2021"/>
    <s v="Stable"/>
  </r>
  <r>
    <s v="E155"/>
    <s v="Pooja"/>
    <s v="Female"/>
    <n v="42"/>
    <x v="1"/>
    <s v="Financial Analyst"/>
    <n v="51709"/>
    <n v="5"/>
    <d v="2015-09-16T00:00:00"/>
    <n v="4"/>
    <x v="1"/>
    <s v="Bangalore"/>
    <s v="Senior"/>
    <s v="Mid"/>
    <n v="2015"/>
    <s v="Stable"/>
  </r>
  <r>
    <s v="E156"/>
    <s v="Rohan"/>
    <s v="Male"/>
    <n v="31"/>
    <x v="0"/>
    <s v="BI Developer"/>
    <n v="73897"/>
    <n v="10"/>
    <d v="2020-04-23T00:00:00"/>
    <n v="3"/>
    <x v="1"/>
    <s v="Delhi"/>
    <s v="Mid"/>
    <s v="Senior"/>
    <n v="2020"/>
    <s v="Stable"/>
  </r>
  <r>
    <s v="E157"/>
    <s v="Priya"/>
    <s v="Female"/>
    <n v="42"/>
    <x v="2"/>
    <s v="HR Associate"/>
    <n v="62476"/>
    <n v="10"/>
    <d v="2016-05-24T00:00:00"/>
    <n v="3"/>
    <x v="0"/>
    <s v="Chennai"/>
    <s v="Senior"/>
    <s v="Senior"/>
    <n v="2016"/>
    <s v="Stable"/>
  </r>
  <r>
    <s v="E158"/>
    <s v="Neha"/>
    <s v="Female"/>
    <n v="37"/>
    <x v="3"/>
    <s v="Account Manager"/>
    <n v="78518"/>
    <n v="15"/>
    <d v="2025-05-13T00:00:00"/>
    <n v="5"/>
    <x v="0"/>
    <s v="Hyderabad"/>
    <s v="Mid"/>
    <s v="Senior"/>
    <n v="2025"/>
    <s v="Stable"/>
  </r>
  <r>
    <s v="E159"/>
    <s v="Sana"/>
    <s v="Female"/>
    <n v="27"/>
    <x v="3"/>
    <s v="Sales Executive"/>
    <n v="55262"/>
    <n v="6"/>
    <d v="2016-02-25T00:00:00"/>
    <n v="1"/>
    <x v="1"/>
    <s v="Mumbai"/>
    <s v="Young"/>
    <s v="Mid"/>
    <n v="2016"/>
    <s v="Stable"/>
  </r>
  <r>
    <s v="E160"/>
    <s v="Neha"/>
    <s v="Female"/>
    <n v="44"/>
    <x v="1"/>
    <s v="Senior Accountant"/>
    <n v="77759"/>
    <n v="14"/>
    <d v="2020-01-06T00:00:00"/>
    <n v="1"/>
    <x v="0"/>
    <s v="Pune"/>
    <s v="Senior"/>
    <s v="Senior"/>
    <n v="2020"/>
    <s v="High Risk"/>
  </r>
  <r>
    <s v="E161"/>
    <s v="Amit"/>
    <s v="Male"/>
    <n v="43"/>
    <x v="3"/>
    <s v="Regional Manager"/>
    <n v="70952"/>
    <n v="12"/>
    <d v="2020-10-02T00:00:00"/>
    <n v="2"/>
    <x v="0"/>
    <s v="Pune"/>
    <s v="Senior"/>
    <s v="Senior"/>
    <n v="2020"/>
    <s v="High Risk"/>
  </r>
  <r>
    <s v="E162"/>
    <s v="Amit"/>
    <s v="Male"/>
    <n v="29"/>
    <x v="3"/>
    <s v="Sales Executive"/>
    <n v="60933"/>
    <n v="8"/>
    <d v="2019-04-18T00:00:00"/>
    <n v="5"/>
    <x v="1"/>
    <s v="Bangalore"/>
    <s v="Young"/>
    <s v="Senior"/>
    <n v="2019"/>
    <s v="Stable"/>
  </r>
  <r>
    <s v="E163"/>
    <s v="Imran"/>
    <s v="Female"/>
    <n v="24"/>
    <x v="3"/>
    <s v="Regional Manager"/>
    <n v="51174"/>
    <n v="3"/>
    <d v="2019-02-12T00:00:00"/>
    <n v="4"/>
    <x v="0"/>
    <s v="Mumbai"/>
    <s v="Young"/>
    <s v="Mid"/>
    <n v="2019"/>
    <s v="Stable"/>
  </r>
  <r>
    <s v="E164"/>
    <s v="Neha"/>
    <s v="Male"/>
    <n v="37"/>
    <x v="2"/>
    <s v="HR Executive"/>
    <n v="72202"/>
    <n v="12"/>
    <d v="2016-04-27T00:00:00"/>
    <n v="3"/>
    <x v="0"/>
    <s v="Delhi"/>
    <s v="Mid"/>
    <s v="Senior"/>
    <n v="2016"/>
    <s v="Stable"/>
  </r>
  <r>
    <s v="E165"/>
    <s v="Pooja"/>
    <s v="Female"/>
    <n v="28"/>
    <x v="3"/>
    <s v="Inside Sales"/>
    <n v="44723"/>
    <n v="3"/>
    <d v="2024-07-25T00:00:00"/>
    <n v="1"/>
    <x v="0"/>
    <s v="Chennai"/>
    <s v="Young"/>
    <s v="Mid"/>
    <n v="2024"/>
    <s v="High Risk"/>
  </r>
  <r>
    <s v="E166"/>
    <s v="Amit"/>
    <s v="Female"/>
    <n v="39"/>
    <x v="0"/>
    <s v="Support Engineer"/>
    <n v="67414"/>
    <n v="9"/>
    <d v="2024-07-19T00:00:00"/>
    <n v="2"/>
    <x v="0"/>
    <s v="Delhi"/>
    <s v="Mid"/>
    <s v="Senior"/>
    <n v="2024"/>
    <s v="High Risk"/>
  </r>
  <r>
    <s v="E167"/>
    <s v="Sneha"/>
    <s v="Male"/>
    <n v="28"/>
    <x v="2"/>
    <s v="HR Associate"/>
    <n v="46878"/>
    <n v="4"/>
    <d v="2023-11-12T00:00:00"/>
    <n v="4"/>
    <x v="1"/>
    <s v="Pune"/>
    <s v="Young"/>
    <s v="Mid"/>
    <n v="2023"/>
    <s v="Stable"/>
  </r>
  <r>
    <s v="E168"/>
    <s v="Sana"/>
    <s v="Male"/>
    <n v="24"/>
    <x v="1"/>
    <s v="Senior Accountant"/>
    <n v="47067"/>
    <n v="2"/>
    <d v="2019-06-19T00:00:00"/>
    <n v="4"/>
    <x v="0"/>
    <s v="Chennai"/>
    <s v="Young"/>
    <s v="Junior"/>
    <n v="2019"/>
    <s v="Stable"/>
  </r>
  <r>
    <s v="E169"/>
    <s v="Amit"/>
    <s v="Female"/>
    <n v="36"/>
    <x v="0"/>
    <s v="BI Developer"/>
    <n v="86142"/>
    <n v="14"/>
    <d v="2020-10-20T00:00:00"/>
    <n v="3"/>
    <x v="0"/>
    <s v="Pune"/>
    <s v="Mid"/>
    <s v="Senior"/>
    <n v="2020"/>
    <s v="Stable"/>
  </r>
  <r>
    <s v="E170"/>
    <s v="Nikhil"/>
    <s v="Female"/>
    <n v="23"/>
    <x v="2"/>
    <s v="Talent Acquisition"/>
    <n v="46488"/>
    <n v="2"/>
    <d v="2016-09-18T00:00:00"/>
    <n v="3"/>
    <x v="0"/>
    <s v="Mumbai"/>
    <s v="Young"/>
    <s v="Junior"/>
    <n v="2016"/>
    <s v="Stable"/>
  </r>
  <r>
    <s v="E171"/>
    <s v="Amit"/>
    <s v="Female"/>
    <n v="30"/>
    <x v="2"/>
    <s v="HR Associate"/>
    <n v="58404"/>
    <n v="6"/>
    <d v="2025-09-22T00:00:00"/>
    <n v="5"/>
    <x v="0"/>
    <s v="Delhi"/>
    <s v="Mid"/>
    <s v="Mid"/>
    <n v="2025"/>
    <s v="Stable"/>
  </r>
  <r>
    <s v="E172"/>
    <s v="Tarun"/>
    <s v="Male"/>
    <n v="40"/>
    <x v="1"/>
    <s v="Accountant"/>
    <n v="49804"/>
    <n v="4"/>
    <d v="2022-05-22T00:00:00"/>
    <n v="5"/>
    <x v="0"/>
    <s v="Pune"/>
    <s v="Mid"/>
    <s v="Mid"/>
    <n v="2022"/>
    <s v="Stable"/>
  </r>
  <r>
    <s v="E173"/>
    <s v="Amit"/>
    <s v="Male"/>
    <n v="23"/>
    <x v="1"/>
    <s v="Accountant"/>
    <n v="52668"/>
    <n v="2"/>
    <d v="2017-05-13T00:00:00"/>
    <n v="5"/>
    <x v="0"/>
    <s v="Delhi"/>
    <s v="Young"/>
    <s v="Junior"/>
    <n v="2017"/>
    <s v="Stable"/>
  </r>
  <r>
    <s v="E174"/>
    <s v="Meena"/>
    <s v="Female"/>
    <n v="37"/>
    <x v="0"/>
    <s v="Python Developer"/>
    <n v="68722"/>
    <n v="7"/>
    <d v="2019-07-22T00:00:00"/>
    <n v="3"/>
    <x v="0"/>
    <s v="Delhi"/>
    <s v="Mid"/>
    <s v="Mid"/>
    <n v="2019"/>
    <s v="Stable"/>
  </r>
  <r>
    <s v="E175"/>
    <s v="Kavya"/>
    <s v="Female"/>
    <n v="37"/>
    <x v="0"/>
    <s v="BI Developer"/>
    <n v="78342"/>
    <n v="14"/>
    <d v="2018-10-25T00:00:00"/>
    <n v="5"/>
    <x v="0"/>
    <s v="Delhi"/>
    <s v="Mid"/>
    <s v="Senior"/>
    <n v="2018"/>
    <s v="Stable"/>
  </r>
  <r>
    <s v="E176"/>
    <s v="Arjun"/>
    <s v="Female"/>
    <n v="33"/>
    <x v="1"/>
    <s v="Auditor"/>
    <n v="49728"/>
    <n v="3"/>
    <d v="2017-09-17T00:00:00"/>
    <n v="4"/>
    <x v="0"/>
    <s v="Chennai"/>
    <s v="Mid"/>
    <s v="Mid"/>
    <n v="2017"/>
    <s v="Stable"/>
  </r>
  <r>
    <s v="E177"/>
    <s v="Priya"/>
    <s v="Male"/>
    <n v="31"/>
    <x v="2"/>
    <s v="Talent Acquisition"/>
    <n v="68082"/>
    <n v="10"/>
    <d v="2019-09-09T00:00:00"/>
    <n v="2"/>
    <x v="0"/>
    <s v="Mumbai"/>
    <s v="Mid"/>
    <s v="Senior"/>
    <n v="2019"/>
    <s v="High Risk"/>
  </r>
  <r>
    <s v="E178"/>
    <s v="Pooja"/>
    <s v="Male"/>
    <n v="38"/>
    <x v="1"/>
    <s v="Financial Analyst"/>
    <n v="80171"/>
    <n v="14"/>
    <d v="2024-11-09T00:00:00"/>
    <n v="3"/>
    <x v="0"/>
    <s v="Hyderabad"/>
    <s v="Mid"/>
    <s v="Senior"/>
    <n v="2024"/>
    <s v="Stable"/>
  </r>
  <r>
    <s v="E179"/>
    <s v="Vikram"/>
    <s v="Male"/>
    <n v="40"/>
    <x v="3"/>
    <s v="Account Manager"/>
    <n v="63297"/>
    <n v="11"/>
    <d v="2015-07-27T00:00:00"/>
    <n v="3"/>
    <x v="0"/>
    <s v="Delhi"/>
    <s v="Mid"/>
    <s v="Senior"/>
    <n v="2015"/>
    <s v="Stable"/>
  </r>
  <r>
    <s v="E180"/>
    <s v="Sneha"/>
    <s v="Male"/>
    <n v="35"/>
    <x v="3"/>
    <s v="Regional Manager"/>
    <n v="49333"/>
    <n v="4"/>
    <d v="2023-02-27T00:00:00"/>
    <n v="3"/>
    <x v="0"/>
    <s v="Mumbai"/>
    <s v="Mid"/>
    <s v="Mid"/>
    <n v="2023"/>
    <s v="Stable"/>
  </r>
  <r>
    <s v="E181"/>
    <s v="Tarun"/>
    <s v="Male"/>
    <n v="39"/>
    <x v="0"/>
    <s v="Python Developer"/>
    <n v="60939"/>
    <n v="6"/>
    <d v="2021-03-16T00:00:00"/>
    <n v="3"/>
    <x v="1"/>
    <s v="Pune"/>
    <s v="Mid"/>
    <s v="Mid"/>
    <n v="2021"/>
    <s v="Stable"/>
  </r>
  <r>
    <s v="E182"/>
    <s v="Arjun"/>
    <s v="Male"/>
    <n v="25"/>
    <x v="3"/>
    <s v="Regional Manager"/>
    <n v="51114"/>
    <n v="4"/>
    <d v="2023-11-30T00:00:00"/>
    <n v="3"/>
    <x v="0"/>
    <s v="Mumbai"/>
    <s v="Young"/>
    <s v="Mid"/>
    <n v="2023"/>
    <s v="Stable"/>
  </r>
  <r>
    <s v="E183"/>
    <s v="Nikhil"/>
    <s v="Female"/>
    <n v="23"/>
    <x v="2"/>
    <s v="Talent Acquisition"/>
    <n v="36137"/>
    <n v="1"/>
    <d v="2016-07-15T00:00:00"/>
    <n v="3"/>
    <x v="0"/>
    <s v="Pune"/>
    <s v="Young"/>
    <s v="Junior"/>
    <n v="2016"/>
    <s v="Stable"/>
  </r>
  <r>
    <s v="E184"/>
    <s v="Rohan"/>
    <s v="Male"/>
    <n v="41"/>
    <x v="3"/>
    <s v="Inside Sales"/>
    <n v="62662"/>
    <n v="10"/>
    <d v="2019-05-29T00:00:00"/>
    <n v="5"/>
    <x v="0"/>
    <s v="Mumbai"/>
    <s v="Senior"/>
    <s v="Senior"/>
    <n v="2019"/>
    <s v="Stable"/>
  </r>
  <r>
    <s v="E185"/>
    <s v="Pooja"/>
    <s v="Female"/>
    <n v="22"/>
    <x v="1"/>
    <s v="Senior Accountant"/>
    <n v="44927"/>
    <n v="1"/>
    <d v="2022-07-22T00:00:00"/>
    <n v="1"/>
    <x v="0"/>
    <s v="Delhi"/>
    <s v="Young"/>
    <s v="Junior"/>
    <n v="2022"/>
    <s v="High Risk"/>
  </r>
  <r>
    <s v="E186"/>
    <s v="Karan"/>
    <s v="Female"/>
    <n v="42"/>
    <x v="0"/>
    <s v="QA Analyst"/>
    <n v="69319"/>
    <n v="7"/>
    <d v="2015-07-30T00:00:00"/>
    <n v="5"/>
    <x v="0"/>
    <s v="Pune"/>
    <s v="Senior"/>
    <s v="Mid"/>
    <n v="2015"/>
    <s v="Stable"/>
  </r>
  <r>
    <s v="E187"/>
    <s v="Priya"/>
    <s v="Male"/>
    <n v="40"/>
    <x v="3"/>
    <s v="Inside Sales"/>
    <n v="45625"/>
    <n v="3"/>
    <d v="2015-03-19T00:00:00"/>
    <n v="4"/>
    <x v="0"/>
    <s v="Bangalore"/>
    <s v="Mid"/>
    <s v="Mid"/>
    <n v="2015"/>
    <s v="Stable"/>
  </r>
  <r>
    <s v="E188"/>
    <s v="Nikhil"/>
    <s v="Female"/>
    <n v="41"/>
    <x v="3"/>
    <s v="Inside Sales"/>
    <n v="84555"/>
    <n v="15"/>
    <d v="2023-02-27T00:00:00"/>
    <n v="1"/>
    <x v="0"/>
    <s v="Pune"/>
    <s v="Senior"/>
    <s v="Senior"/>
    <n v="2023"/>
    <s v="High Risk"/>
  </r>
  <r>
    <s v="E189"/>
    <s v="Rohan"/>
    <s v="Female"/>
    <n v="27"/>
    <x v="1"/>
    <s v="Senior Accountant"/>
    <n v="60734"/>
    <n v="6"/>
    <d v="2018-11-03T00:00:00"/>
    <n v="5"/>
    <x v="0"/>
    <s v="Delhi"/>
    <s v="Young"/>
    <s v="Mid"/>
    <n v="2018"/>
    <s v="Stable"/>
  </r>
  <r>
    <s v="E190"/>
    <s v="Divya"/>
    <s v="Male"/>
    <n v="30"/>
    <x v="1"/>
    <s v="Senior Accountant"/>
    <n v="63184"/>
    <n v="9"/>
    <d v="2025-07-23T00:00:00"/>
    <n v="3"/>
    <x v="0"/>
    <s v="Delhi"/>
    <s v="Mid"/>
    <s v="Senior"/>
    <n v="2025"/>
    <s v="Stable"/>
  </r>
  <r>
    <s v="E191"/>
    <s v="Pooja"/>
    <s v="Female"/>
    <n v="33"/>
    <x v="2"/>
    <s v="HR Manager"/>
    <n v="57715"/>
    <n v="8"/>
    <d v="2016-05-14T00:00:00"/>
    <n v="5"/>
    <x v="0"/>
    <s v="Chennai"/>
    <s v="Mid"/>
    <s v="Senior"/>
    <n v="2016"/>
    <s v="Stable"/>
  </r>
  <r>
    <s v="E192"/>
    <s v="Meena"/>
    <s v="Male"/>
    <n v="23"/>
    <x v="3"/>
    <s v="Regional Manager"/>
    <n v="51700"/>
    <n v="2"/>
    <d v="2015-11-20T00:00:00"/>
    <n v="3"/>
    <x v="0"/>
    <s v="Delhi"/>
    <s v="Young"/>
    <s v="Junior"/>
    <n v="2015"/>
    <s v="Stable"/>
  </r>
  <r>
    <s v="E193"/>
    <s v="Vikram"/>
    <s v="Male"/>
    <n v="39"/>
    <x v="1"/>
    <s v="Senior Accountant"/>
    <n v="66208"/>
    <n v="8"/>
    <d v="2022-10-22T00:00:00"/>
    <n v="3"/>
    <x v="0"/>
    <s v="Pune"/>
    <s v="Mid"/>
    <s v="Senior"/>
    <n v="2022"/>
    <s v="Stable"/>
  </r>
  <r>
    <s v="E194"/>
    <s v="Nikhil"/>
    <s v="Male"/>
    <n v="29"/>
    <x v="2"/>
    <s v="Talent Acquisition"/>
    <n v="51360"/>
    <n v="7"/>
    <d v="2016-02-15T00:00:00"/>
    <n v="4"/>
    <x v="0"/>
    <s v="Chennai"/>
    <s v="Young"/>
    <s v="Mid"/>
    <n v="2016"/>
    <s v="Stable"/>
  </r>
  <r>
    <s v="E195"/>
    <s v="Ayesha"/>
    <s v="Male"/>
    <n v="27"/>
    <x v="0"/>
    <s v="BI Developer"/>
    <n v="65696"/>
    <n v="6"/>
    <d v="2025-06-26T00:00:00"/>
    <n v="4"/>
    <x v="0"/>
    <s v="Bangalore"/>
    <s v="Young"/>
    <s v="Mid"/>
    <n v="2025"/>
    <s v="Stable"/>
  </r>
  <r>
    <s v="E196"/>
    <s v="Priya"/>
    <s v="Female"/>
    <n v="24"/>
    <x v="1"/>
    <s v="Auditor"/>
    <n v="53267"/>
    <n v="3"/>
    <d v="2023-04-14T00:00:00"/>
    <n v="1"/>
    <x v="0"/>
    <s v="Bangalore"/>
    <s v="Young"/>
    <s v="Mid"/>
    <n v="2023"/>
    <s v="High Risk"/>
  </r>
  <r>
    <s v="E197"/>
    <s v="Neha"/>
    <s v="Female"/>
    <n v="45"/>
    <x v="0"/>
    <s v="Python Developer"/>
    <n v="63113"/>
    <n v="9"/>
    <d v="2015-02-07T00:00:00"/>
    <n v="3"/>
    <x v="0"/>
    <s v="Hyderabad"/>
    <s v="Senior"/>
    <s v="Senior"/>
    <n v="2015"/>
    <s v="Stable"/>
  </r>
  <r>
    <s v="E198"/>
    <s v="Ayesha"/>
    <s v="Female"/>
    <n v="38"/>
    <x v="1"/>
    <s v="Auditor"/>
    <n v="76698"/>
    <n v="15"/>
    <d v="2024-07-17T00:00:00"/>
    <n v="5"/>
    <x v="0"/>
    <s v="Bangalore"/>
    <s v="Mid"/>
    <s v="Senior"/>
    <n v="2024"/>
    <s v="Stable"/>
  </r>
  <r>
    <s v="E199"/>
    <s v="Imran"/>
    <s v="Male"/>
    <n v="42"/>
    <x v="0"/>
    <s v="Support Engineer"/>
    <n v="71773"/>
    <n v="8"/>
    <d v="2017-02-01T00:00:00"/>
    <n v="1"/>
    <x v="0"/>
    <s v="Pune"/>
    <s v="Senior"/>
    <s v="Senior"/>
    <n v="2017"/>
    <s v="High Risk"/>
  </r>
  <r>
    <s v="E200"/>
    <s v="Kavya"/>
    <s v="Female"/>
    <n v="38"/>
    <x v="2"/>
    <s v="Talent Acquisition"/>
    <n v="59421"/>
    <n v="10"/>
    <d v="2019-06-30T00:00:00"/>
    <n v="1"/>
    <x v="1"/>
    <s v="Bangalore"/>
    <s v="Mid"/>
    <s v="Senior"/>
    <n v="2019"/>
    <s v="Stable"/>
  </r>
  <r>
    <s v="E201"/>
    <s v="Rahul"/>
    <s v="Male"/>
    <n v="30"/>
    <x v="3"/>
    <s v="Regional Manager"/>
    <n v="61358"/>
    <n v="9"/>
    <d v="2020-01-04T00:00:00"/>
    <n v="3"/>
    <x v="0"/>
    <s v="Mumbai"/>
    <s v="Mid"/>
    <s v="Senior"/>
    <n v="2020"/>
    <s v="Stable"/>
  </r>
  <r>
    <s v="E202"/>
    <s v="Divya"/>
    <s v="Female"/>
    <n v="23"/>
    <x v="0"/>
    <s v="Support Engineer"/>
    <n v="52625"/>
    <n v="2"/>
    <d v="2018-06-10T00:00:00"/>
    <n v="2"/>
    <x v="1"/>
    <s v="Pune"/>
    <s v="Young"/>
    <s v="Junior"/>
    <n v="2018"/>
    <s v="Stable"/>
  </r>
  <r>
    <s v="E203"/>
    <s v="Anjali"/>
    <s v="Female"/>
    <n v="41"/>
    <x v="1"/>
    <s v="Accountant"/>
    <n v="58090"/>
    <n v="7"/>
    <d v="2025-09-26T00:00:00"/>
    <n v="2"/>
    <x v="0"/>
    <s v="Pune"/>
    <s v="Senior"/>
    <s v="Mid"/>
    <n v="2025"/>
    <s v="High Risk"/>
  </r>
  <r>
    <s v="E204"/>
    <s v="Ayesha"/>
    <s v="Female"/>
    <n v="43"/>
    <x v="1"/>
    <s v="Senior Accountant"/>
    <n v="64482"/>
    <n v="6"/>
    <d v="2017-10-10T00:00:00"/>
    <n v="5"/>
    <x v="0"/>
    <s v="Hyderabad"/>
    <s v="Senior"/>
    <s v="Mid"/>
    <n v="2017"/>
    <s v="Stable"/>
  </r>
  <r>
    <s v="E205"/>
    <s v="Tarun"/>
    <s v="Male"/>
    <n v="25"/>
    <x v="3"/>
    <s v="Regional Manager"/>
    <n v="46472"/>
    <n v="1"/>
    <d v="2025-02-15T00:00:00"/>
    <n v="5"/>
    <x v="0"/>
    <s v="Pune"/>
    <s v="Young"/>
    <s v="Junior"/>
    <n v="2025"/>
    <s v="Stable"/>
  </r>
  <r>
    <s v="E206"/>
    <s v="Nikhil"/>
    <s v="Female"/>
    <n v="36"/>
    <x v="2"/>
    <s v="Talent Acquisition"/>
    <n v="51645"/>
    <n v="3"/>
    <d v="2017-04-21T00:00:00"/>
    <n v="5"/>
    <x v="0"/>
    <s v="Pune"/>
    <s v="Mid"/>
    <s v="Mid"/>
    <n v="2017"/>
    <s v="Stable"/>
  </r>
  <r>
    <s v="E207"/>
    <s v="Arjun"/>
    <s v="Female"/>
    <n v="38"/>
    <x v="3"/>
    <s v="Sales Executive"/>
    <n v="74984"/>
    <n v="13"/>
    <d v="2021-04-28T00:00:00"/>
    <n v="1"/>
    <x v="0"/>
    <s v="Mumbai"/>
    <s v="Mid"/>
    <s v="Senior"/>
    <n v="2021"/>
    <s v="High Risk"/>
  </r>
  <r>
    <s v="E208"/>
    <s v="Rahul"/>
    <s v="Female"/>
    <n v="45"/>
    <x v="0"/>
    <s v="Python Developer"/>
    <n v="64475"/>
    <n v="6"/>
    <d v="2015-10-27T00:00:00"/>
    <n v="1"/>
    <x v="1"/>
    <s v="Delhi"/>
    <s v="Senior"/>
    <s v="Mid"/>
    <n v="2015"/>
    <s v="Stable"/>
  </r>
  <r>
    <s v="E209"/>
    <s v="Amit"/>
    <s v="Male"/>
    <n v="37"/>
    <x v="0"/>
    <s v="QA Analyst"/>
    <n v="47203"/>
    <n v="1"/>
    <d v="2019-08-02T00:00:00"/>
    <n v="2"/>
    <x v="0"/>
    <s v="Delhi"/>
    <s v="Mid"/>
    <s v="Junior"/>
    <n v="2019"/>
    <s v="High Risk"/>
  </r>
  <r>
    <s v="E210"/>
    <s v="Imran"/>
    <s v="Female"/>
    <n v="34"/>
    <x v="3"/>
    <s v="Regional Manager"/>
    <n v="66314"/>
    <n v="12"/>
    <d v="2022-08-28T00:00:00"/>
    <n v="5"/>
    <x v="0"/>
    <s v="Mumbai"/>
    <s v="Mid"/>
    <s v="Senior"/>
    <n v="2022"/>
    <s v="Stable"/>
  </r>
  <r>
    <s v="E211"/>
    <s v="Nikhil"/>
    <s v="Female"/>
    <n v="26"/>
    <x v="0"/>
    <s v="BI Developer"/>
    <n v="52556"/>
    <n v="5"/>
    <d v="2023-06-25T00:00:00"/>
    <n v="1"/>
    <x v="0"/>
    <s v="Delhi"/>
    <s v="Young"/>
    <s v="Mid"/>
    <n v="2023"/>
    <s v="High Risk"/>
  </r>
  <r>
    <s v="E212"/>
    <s v="Divya"/>
    <s v="Male"/>
    <n v="36"/>
    <x v="3"/>
    <s v="Account Manager"/>
    <n v="65041"/>
    <n v="11"/>
    <d v="2018-02-03T00:00:00"/>
    <n v="2"/>
    <x v="0"/>
    <s v="Hyderabad"/>
    <s v="Mid"/>
    <s v="Senior"/>
    <n v="2018"/>
    <s v="High Risk"/>
  </r>
  <r>
    <s v="E213"/>
    <s v="Divya"/>
    <s v="Male"/>
    <n v="28"/>
    <x v="0"/>
    <s v="Python Developer"/>
    <n v="46653"/>
    <n v="2"/>
    <d v="2021-08-29T00:00:00"/>
    <n v="1"/>
    <x v="1"/>
    <s v="Delhi"/>
    <s v="Young"/>
    <s v="Junior"/>
    <n v="2021"/>
    <s v="Stable"/>
  </r>
  <r>
    <s v="E214"/>
    <s v="Sameer"/>
    <s v="Male"/>
    <n v="36"/>
    <x v="0"/>
    <s v="BI Developer"/>
    <n v="66343"/>
    <n v="7"/>
    <d v="2017-06-08T00:00:00"/>
    <n v="1"/>
    <x v="1"/>
    <s v="Mumbai"/>
    <s v="Mid"/>
    <s v="Mid"/>
    <n v="2017"/>
    <s v="Stable"/>
  </r>
  <r>
    <s v="E215"/>
    <s v="Divya"/>
    <s v="Female"/>
    <n v="31"/>
    <x v="2"/>
    <s v="HR Associate"/>
    <n v="53816"/>
    <n v="4"/>
    <d v="2020-11-05T00:00:00"/>
    <n v="2"/>
    <x v="1"/>
    <s v="Mumbai"/>
    <s v="Mid"/>
    <s v="Mid"/>
    <n v="2020"/>
    <s v="Stable"/>
  </r>
  <r>
    <s v="E216"/>
    <s v="Kavya"/>
    <s v="Male"/>
    <n v="39"/>
    <x v="0"/>
    <s v="QA Analyst"/>
    <n v="78268"/>
    <n v="15"/>
    <d v="2025-11-26T00:00:00"/>
    <n v="3"/>
    <x v="0"/>
    <s v="Delhi"/>
    <s v="Mid"/>
    <s v="Senior"/>
    <n v="2025"/>
    <s v="Stable"/>
  </r>
  <r>
    <s v="E217"/>
    <s v="Kavya"/>
    <s v="Female"/>
    <n v="26"/>
    <x v="3"/>
    <s v="Regional Manager"/>
    <n v="53667"/>
    <n v="5"/>
    <d v="2017-01-23T00:00:00"/>
    <n v="5"/>
    <x v="0"/>
    <s v="Bangalore"/>
    <s v="Young"/>
    <s v="Mid"/>
    <n v="2017"/>
    <s v="Stable"/>
  </r>
  <r>
    <s v="E218"/>
    <s v="Priya"/>
    <s v="Female"/>
    <n v="39"/>
    <x v="1"/>
    <s v="Financial Analyst"/>
    <n v="76324"/>
    <n v="13"/>
    <d v="2021-04-01T00:00:00"/>
    <n v="5"/>
    <x v="0"/>
    <s v="Bangalore"/>
    <s v="Mid"/>
    <s v="Senior"/>
    <n v="2021"/>
    <s v="Stable"/>
  </r>
  <r>
    <s v="E219"/>
    <s v="Amit"/>
    <s v="Female"/>
    <n v="36"/>
    <x v="1"/>
    <s v="Financial Analyst"/>
    <n v="66014"/>
    <n v="11"/>
    <d v="2021-01-02T00:00:00"/>
    <n v="2"/>
    <x v="1"/>
    <s v="Chennai"/>
    <s v="Mid"/>
    <s v="Senior"/>
    <n v="2021"/>
    <s v="Stable"/>
  </r>
  <r>
    <s v="E220"/>
    <s v="Tarun"/>
    <s v="Male"/>
    <n v="45"/>
    <x v="0"/>
    <s v="Data Analyst"/>
    <n v="62854"/>
    <n v="6"/>
    <d v="2017-05-05T00:00:00"/>
    <n v="3"/>
    <x v="0"/>
    <s v="Hyderabad"/>
    <s v="Senior"/>
    <s v="Mid"/>
    <n v="2017"/>
    <s v="Stable"/>
  </r>
  <r>
    <s v="E221"/>
    <s v="Pooja"/>
    <s v="Male"/>
    <n v="29"/>
    <x v="2"/>
    <s v="Talent Acquisition"/>
    <n v="54498"/>
    <n v="6"/>
    <d v="2025-04-06T00:00:00"/>
    <n v="2"/>
    <x v="0"/>
    <s v="Chennai"/>
    <s v="Young"/>
    <s v="Mid"/>
    <n v="2025"/>
    <s v="High Risk"/>
  </r>
  <r>
    <s v="E222"/>
    <s v="Karan"/>
    <s v="Female"/>
    <n v="33"/>
    <x v="3"/>
    <s v="Regional Manager"/>
    <n v="72635"/>
    <n v="12"/>
    <d v="2016-02-08T00:00:00"/>
    <n v="4"/>
    <x v="0"/>
    <s v="Mumbai"/>
    <s v="Mid"/>
    <s v="Senior"/>
    <n v="2016"/>
    <s v="Stable"/>
  </r>
  <r>
    <s v="E223"/>
    <s v="Kavya"/>
    <s v="Female"/>
    <n v="23"/>
    <x v="2"/>
    <s v="HR Associate"/>
    <n v="50144"/>
    <n v="2"/>
    <d v="2016-08-20T00:00:00"/>
    <n v="1"/>
    <x v="1"/>
    <s v="Pune"/>
    <s v="Young"/>
    <s v="Junior"/>
    <n v="2016"/>
    <s v="Stable"/>
  </r>
  <r>
    <s v="E224"/>
    <s v="Vikram"/>
    <s v="Male"/>
    <n v="32"/>
    <x v="3"/>
    <s v="Regional Manager"/>
    <n v="58723"/>
    <n v="7"/>
    <d v="2021-05-22T00:00:00"/>
    <n v="2"/>
    <x v="0"/>
    <s v="Delhi"/>
    <s v="Mid"/>
    <s v="Mid"/>
    <n v="2021"/>
    <s v="High Risk"/>
  </r>
  <r>
    <s v="E225"/>
    <s v="Pooja"/>
    <s v="Female"/>
    <n v="36"/>
    <x v="1"/>
    <s v="Auditor"/>
    <n v="61505"/>
    <n v="5"/>
    <d v="2023-12-01T00:00:00"/>
    <n v="3"/>
    <x v="0"/>
    <s v="Delhi"/>
    <s v="Mid"/>
    <s v="Mid"/>
    <n v="2023"/>
    <s v="Stable"/>
  </r>
  <r>
    <s v="E226"/>
    <s v="Nikhil"/>
    <s v="Male"/>
    <n v="23"/>
    <x v="3"/>
    <s v="Inside Sales"/>
    <n v="50948"/>
    <n v="2"/>
    <d v="2015-07-18T00:00:00"/>
    <n v="1"/>
    <x v="1"/>
    <s v="Delhi"/>
    <s v="Young"/>
    <s v="Junior"/>
    <n v="2015"/>
    <s v="Stable"/>
  </r>
  <r>
    <s v="E227"/>
    <s v="Rahul"/>
    <s v="Male"/>
    <n v="28"/>
    <x v="2"/>
    <s v="HR Executive"/>
    <n v="56614"/>
    <n v="7"/>
    <d v="2015-09-05T00:00:00"/>
    <n v="5"/>
    <x v="0"/>
    <s v="Pune"/>
    <s v="Young"/>
    <s v="Mid"/>
    <n v="2015"/>
    <s v="Stable"/>
  </r>
  <r>
    <s v="E228"/>
    <s v="Rahul"/>
    <s v="Male"/>
    <n v="39"/>
    <x v="3"/>
    <s v="Account Manager"/>
    <n v="67694"/>
    <n v="13"/>
    <d v="2015-03-10T00:00:00"/>
    <n v="5"/>
    <x v="0"/>
    <s v="Pune"/>
    <s v="Mid"/>
    <s v="Senior"/>
    <n v="2015"/>
    <s v="Stable"/>
  </r>
  <r>
    <s v="E229"/>
    <s v="Neha"/>
    <s v="Female"/>
    <n v="25"/>
    <x v="1"/>
    <s v="Accountant"/>
    <n v="53091"/>
    <n v="3"/>
    <d v="2016-09-01T00:00:00"/>
    <n v="2"/>
    <x v="1"/>
    <s v="Pune"/>
    <s v="Young"/>
    <s v="Mid"/>
    <n v="2016"/>
    <s v="Stable"/>
  </r>
  <r>
    <s v="E230"/>
    <s v="Sameer"/>
    <s v="Female"/>
    <n v="24"/>
    <x v="1"/>
    <s v="Auditor"/>
    <n v="51152"/>
    <n v="3"/>
    <d v="2020-02-24T00:00:00"/>
    <n v="5"/>
    <x v="0"/>
    <s v="Delhi"/>
    <s v="Young"/>
    <s v="Mid"/>
    <n v="2020"/>
    <s v="Stable"/>
  </r>
  <r>
    <s v="E231"/>
    <s v="Priya"/>
    <s v="Male"/>
    <n v="24"/>
    <x v="2"/>
    <s v="HR Associate"/>
    <n v="46713"/>
    <n v="3"/>
    <d v="2019-03-25T00:00:00"/>
    <n v="5"/>
    <x v="0"/>
    <s v="Delhi"/>
    <s v="Young"/>
    <s v="Mid"/>
    <n v="2019"/>
    <s v="Stable"/>
  </r>
  <r>
    <s v="E232"/>
    <s v="Pooja"/>
    <s v="Male"/>
    <n v="35"/>
    <x v="0"/>
    <s v="BI Developer"/>
    <n v="74270"/>
    <n v="10"/>
    <d v="2024-08-15T00:00:00"/>
    <n v="1"/>
    <x v="0"/>
    <s v="Bangalore"/>
    <s v="Mid"/>
    <s v="Senior"/>
    <n v="2024"/>
    <s v="High Risk"/>
  </r>
  <r>
    <s v="E233"/>
    <s v="Priya"/>
    <s v="Female"/>
    <n v="24"/>
    <x v="2"/>
    <s v="HR Manager"/>
    <n v="49397"/>
    <n v="3"/>
    <d v="2021-04-27T00:00:00"/>
    <n v="1"/>
    <x v="1"/>
    <s v="Mumbai"/>
    <s v="Young"/>
    <s v="Mid"/>
    <n v="2021"/>
    <s v="Stable"/>
  </r>
  <r>
    <s v="E234"/>
    <s v="Sameer"/>
    <s v="Male"/>
    <n v="24"/>
    <x v="0"/>
    <s v="BI Developer"/>
    <n v="50161"/>
    <n v="3"/>
    <d v="2021-04-28T00:00:00"/>
    <n v="2"/>
    <x v="0"/>
    <s v="Delhi"/>
    <s v="Young"/>
    <s v="Mid"/>
    <n v="2021"/>
    <s v="High Risk"/>
  </r>
  <r>
    <s v="E235"/>
    <s v="Amit"/>
    <s v="Male"/>
    <n v="38"/>
    <x v="1"/>
    <s v="Senior Accountant"/>
    <n v="65379"/>
    <n v="11"/>
    <d v="2016-02-05T00:00:00"/>
    <n v="4"/>
    <x v="0"/>
    <s v="Hyderabad"/>
    <s v="Mid"/>
    <s v="Senior"/>
    <n v="2016"/>
    <s v="Stable"/>
  </r>
  <r>
    <s v="E236"/>
    <s v="Rahul"/>
    <s v="Female"/>
    <n v="42"/>
    <x v="1"/>
    <s v="Senior Accountant"/>
    <n v="69837"/>
    <n v="8"/>
    <d v="2020-01-20T00:00:00"/>
    <n v="4"/>
    <x v="0"/>
    <s v="Pune"/>
    <s v="Senior"/>
    <s v="Senior"/>
    <n v="2020"/>
    <s v="Stable"/>
  </r>
  <r>
    <s v="E237"/>
    <s v="Tarun"/>
    <s v="Male"/>
    <n v="43"/>
    <x v="3"/>
    <s v="Account Manager"/>
    <n v="66404"/>
    <n v="12"/>
    <d v="2023-08-29T00:00:00"/>
    <n v="5"/>
    <x v="0"/>
    <s v="Bangalore"/>
    <s v="Senior"/>
    <s v="Senior"/>
    <n v="2023"/>
    <s v="Stable"/>
  </r>
  <r>
    <s v="E238"/>
    <s v="Arjun"/>
    <s v="Female"/>
    <n v="34"/>
    <x v="0"/>
    <s v="Data Analyst"/>
    <n v="62118"/>
    <n v="4"/>
    <d v="2019-05-15T00:00:00"/>
    <n v="3"/>
    <x v="0"/>
    <s v="Hyderabad"/>
    <s v="Mid"/>
    <s v="Mid"/>
    <n v="2019"/>
    <s v="Stable"/>
  </r>
  <r>
    <s v="E239"/>
    <s v="Anjali"/>
    <s v="Female"/>
    <n v="30"/>
    <x v="0"/>
    <s v="Support Engineer"/>
    <n v="49670"/>
    <n v="3"/>
    <d v="2015-12-24T00:00:00"/>
    <n v="2"/>
    <x v="1"/>
    <s v="Pune"/>
    <s v="Mid"/>
    <s v="Mid"/>
    <n v="2015"/>
    <s v="Stable"/>
  </r>
  <r>
    <s v="E240"/>
    <s v="Amit"/>
    <s v="Male"/>
    <n v="33"/>
    <x v="3"/>
    <s v="Sales Executive"/>
    <n v="49780"/>
    <n v="2"/>
    <d v="2021-09-15T00:00:00"/>
    <n v="3"/>
    <x v="0"/>
    <s v="Hyderabad"/>
    <s v="Mid"/>
    <s v="Junior"/>
    <n v="2021"/>
    <s v="Stable"/>
  </r>
  <r>
    <s v="E241"/>
    <s v="Amit"/>
    <s v="Female"/>
    <n v="45"/>
    <x v="1"/>
    <s v="Senior Accountant"/>
    <n v="63870"/>
    <n v="7"/>
    <d v="2020-11-04T00:00:00"/>
    <n v="2"/>
    <x v="0"/>
    <s v="Mumbai"/>
    <s v="Senior"/>
    <s v="Mid"/>
    <n v="2020"/>
    <s v="High Risk"/>
  </r>
  <r>
    <s v="E242"/>
    <s v="Arjun"/>
    <s v="Female"/>
    <n v="24"/>
    <x v="1"/>
    <s v="Auditor"/>
    <n v="51621"/>
    <n v="3"/>
    <d v="2018-02-04T00:00:00"/>
    <n v="4"/>
    <x v="0"/>
    <s v="Hyderabad"/>
    <s v="Young"/>
    <s v="Mid"/>
    <n v="2018"/>
    <s v="Stable"/>
  </r>
  <r>
    <s v="E243"/>
    <s v="Pooja"/>
    <s v="Male"/>
    <n v="41"/>
    <x v="1"/>
    <s v="Auditor"/>
    <n v="59501"/>
    <n v="6"/>
    <d v="2016-03-14T00:00:00"/>
    <n v="2"/>
    <x v="1"/>
    <s v="Chennai"/>
    <s v="Senior"/>
    <s v="Mid"/>
    <n v="2016"/>
    <s v="Stable"/>
  </r>
  <r>
    <s v="E244"/>
    <s v="Imran"/>
    <s v="Female"/>
    <n v="32"/>
    <x v="1"/>
    <s v="Senior Accountant"/>
    <n v="75166"/>
    <n v="11"/>
    <d v="2025-12-04T00:00:00"/>
    <n v="5"/>
    <x v="0"/>
    <s v="Mumbai"/>
    <s v="Mid"/>
    <s v="Senior"/>
    <n v="2025"/>
    <s v="Stable"/>
  </r>
  <r>
    <s v="E245"/>
    <s v="Neha"/>
    <s v="Female"/>
    <n v="34"/>
    <x v="2"/>
    <s v="HR Manager"/>
    <n v="62775"/>
    <n v="10"/>
    <d v="2023-03-30T00:00:00"/>
    <n v="4"/>
    <x v="0"/>
    <s v="Bangalore"/>
    <s v="Mid"/>
    <s v="Senior"/>
    <n v="2023"/>
    <s v="Stable"/>
  </r>
  <r>
    <s v="E246"/>
    <s v="Sameer"/>
    <s v="Female"/>
    <n v="33"/>
    <x v="1"/>
    <s v="Senior Accountant"/>
    <n v="53738"/>
    <n v="3"/>
    <d v="2017-03-29T00:00:00"/>
    <n v="5"/>
    <x v="0"/>
    <s v="Bangalore"/>
    <s v="Mid"/>
    <s v="Mid"/>
    <n v="2017"/>
    <s v="Stable"/>
  </r>
  <r>
    <s v="E247"/>
    <s v="Imran"/>
    <s v="Male"/>
    <n v="31"/>
    <x v="0"/>
    <s v="Python Developer"/>
    <n v="51703"/>
    <n v="2"/>
    <d v="2022-07-19T00:00:00"/>
    <n v="4"/>
    <x v="0"/>
    <s v="Mumbai"/>
    <s v="Mid"/>
    <s v="Junior"/>
    <n v="2022"/>
    <s v="Stable"/>
  </r>
  <r>
    <s v="E248"/>
    <s v="Kavya"/>
    <s v="Male"/>
    <n v="34"/>
    <x v="2"/>
    <s v="HR Associate"/>
    <n v="45357"/>
    <n v="2"/>
    <d v="2021-09-15T00:00:00"/>
    <n v="4"/>
    <x v="0"/>
    <s v="Pune"/>
    <s v="Mid"/>
    <s v="Junior"/>
    <n v="2021"/>
    <s v="Stable"/>
  </r>
  <r>
    <s v="E249"/>
    <s v="Ayesha"/>
    <s v="Female"/>
    <n v="41"/>
    <x v="3"/>
    <s v="Sales Executive"/>
    <n v="41791"/>
    <n v="2"/>
    <d v="2023-08-16T00:00:00"/>
    <n v="2"/>
    <x v="0"/>
    <s v="Delhi"/>
    <s v="Senior"/>
    <s v="Junior"/>
    <n v="2023"/>
    <s v="High Risk"/>
  </r>
  <r>
    <s v="E250"/>
    <s v="Rohan"/>
    <s v="Female"/>
    <n v="35"/>
    <x v="0"/>
    <s v="QA Analyst"/>
    <n v="47672"/>
    <n v="3"/>
    <d v="2016-02-08T00:00:00"/>
    <n v="3"/>
    <x v="0"/>
    <s v="Delhi"/>
    <s v="Mid"/>
    <s v="Mid"/>
    <n v="2016"/>
    <s v="Stable"/>
  </r>
  <r>
    <s v="E251"/>
    <s v="Sameer"/>
    <s v="Female"/>
    <n v="36"/>
    <x v="2"/>
    <s v="HR Manager"/>
    <n v="48651"/>
    <n v="4"/>
    <d v="2015-04-11T00:00:00"/>
    <n v="4"/>
    <x v="0"/>
    <s v="Chennai"/>
    <s v="Mid"/>
    <s v="Mid"/>
    <n v="2015"/>
    <s v="Stable"/>
  </r>
  <r>
    <s v="E252"/>
    <s v="Anjali"/>
    <s v="Male"/>
    <n v="31"/>
    <x v="0"/>
    <s v="Data Analyst"/>
    <n v="72460"/>
    <n v="10"/>
    <d v="2023-10-18T00:00:00"/>
    <n v="2"/>
    <x v="0"/>
    <s v="Hyderabad"/>
    <s v="Mid"/>
    <s v="Senior"/>
    <n v="2023"/>
    <s v="High Risk"/>
  </r>
  <r>
    <s v="E253"/>
    <s v="Amit"/>
    <s v="Female"/>
    <n v="31"/>
    <x v="3"/>
    <s v="Account Manager"/>
    <n v="49145"/>
    <n v="1"/>
    <d v="2016-04-16T00:00:00"/>
    <n v="1"/>
    <x v="0"/>
    <s v="Delhi"/>
    <s v="Mid"/>
    <s v="Junior"/>
    <n v="2016"/>
    <s v="High Risk"/>
  </r>
  <r>
    <s v="E254"/>
    <s v="Ayesha"/>
    <s v="Male"/>
    <n v="27"/>
    <x v="2"/>
    <s v="Talent Acquisition"/>
    <n v="57172"/>
    <n v="6"/>
    <d v="2019-10-13T00:00:00"/>
    <n v="4"/>
    <x v="0"/>
    <s v="Chennai"/>
    <s v="Young"/>
    <s v="Mid"/>
    <n v="2019"/>
    <s v="Stable"/>
  </r>
  <r>
    <s v="E255"/>
    <s v="Sameer"/>
    <s v="Female"/>
    <n v="22"/>
    <x v="2"/>
    <s v="Talent Acquisition"/>
    <n v="42865"/>
    <n v="1"/>
    <d v="2021-08-22T00:00:00"/>
    <n v="4"/>
    <x v="0"/>
    <s v="Delhi"/>
    <s v="Young"/>
    <s v="Junior"/>
    <n v="2021"/>
    <s v="Stable"/>
  </r>
  <r>
    <s v="E256"/>
    <s v="Amit"/>
    <s v="Female"/>
    <n v="40"/>
    <x v="2"/>
    <s v="Talent Acquisition"/>
    <n v="49296"/>
    <n v="3"/>
    <d v="2017-02-04T00:00:00"/>
    <n v="3"/>
    <x v="0"/>
    <s v="Chennai"/>
    <s v="Mid"/>
    <s v="Mid"/>
    <n v="2017"/>
    <s v="Stable"/>
  </r>
  <r>
    <s v="E257"/>
    <s v="Nikhil"/>
    <s v="Female"/>
    <n v="42"/>
    <x v="0"/>
    <s v="Support Engineer"/>
    <n v="74780"/>
    <n v="10"/>
    <d v="2019-05-11T00:00:00"/>
    <n v="5"/>
    <x v="0"/>
    <s v="Hyderabad"/>
    <s v="Senior"/>
    <s v="Senior"/>
    <n v="2019"/>
    <s v="Stable"/>
  </r>
  <r>
    <s v="E258"/>
    <s v="Sana"/>
    <s v="Female"/>
    <n v="27"/>
    <x v="1"/>
    <s v="Auditor"/>
    <n v="62067"/>
    <n v="6"/>
    <d v="2021-08-14T00:00:00"/>
    <n v="1"/>
    <x v="0"/>
    <s v="Bangalore"/>
    <s v="Young"/>
    <s v="Mid"/>
    <n v="2021"/>
    <s v="High Risk"/>
  </r>
  <r>
    <s v="E259"/>
    <s v="Anjali"/>
    <s v="Male"/>
    <n v="44"/>
    <x v="1"/>
    <s v="Accountant"/>
    <n v="55369"/>
    <n v="4"/>
    <d v="2019-05-11T00:00:00"/>
    <n v="4"/>
    <x v="0"/>
    <s v="Pune"/>
    <s v="Senior"/>
    <s v="Mid"/>
    <n v="2019"/>
    <s v="Stable"/>
  </r>
  <r>
    <s v="E260"/>
    <s v="Pooja"/>
    <s v="Male"/>
    <n v="42"/>
    <x v="3"/>
    <s v="Account Manager"/>
    <n v="56591"/>
    <n v="5"/>
    <d v="2016-11-14T00:00:00"/>
    <n v="4"/>
    <x v="0"/>
    <s v="Bangalore"/>
    <s v="Senior"/>
    <s v="Mid"/>
    <n v="2016"/>
    <s v="Stable"/>
  </r>
  <r>
    <s v="E261"/>
    <s v="Anjali"/>
    <s v="Male"/>
    <n v="22"/>
    <x v="1"/>
    <s v="Senior Accountant"/>
    <n v="41736"/>
    <n v="1"/>
    <d v="2017-03-10T00:00:00"/>
    <n v="4"/>
    <x v="0"/>
    <s v="Pune"/>
    <s v="Young"/>
    <s v="Junior"/>
    <n v="2017"/>
    <s v="Stable"/>
  </r>
  <r>
    <s v="E262"/>
    <s v="Kavya"/>
    <s v="Female"/>
    <n v="44"/>
    <x v="3"/>
    <s v="Account Manager"/>
    <n v="78006"/>
    <n v="14"/>
    <d v="2016-11-16T00:00:00"/>
    <n v="1"/>
    <x v="0"/>
    <s v="Bangalore"/>
    <s v="Senior"/>
    <s v="Senior"/>
    <n v="2016"/>
    <s v="High Risk"/>
  </r>
  <r>
    <s v="E263"/>
    <s v="Divya"/>
    <s v="Female"/>
    <n v="39"/>
    <x v="1"/>
    <s v="Accountant"/>
    <n v="62255"/>
    <n v="9"/>
    <d v="2023-10-03T00:00:00"/>
    <n v="4"/>
    <x v="0"/>
    <s v="Chennai"/>
    <s v="Mid"/>
    <s v="Senior"/>
    <n v="2023"/>
    <s v="Stable"/>
  </r>
  <r>
    <s v="E264"/>
    <s v="Karan"/>
    <s v="Male"/>
    <n v="39"/>
    <x v="0"/>
    <s v="QA Analyst"/>
    <n v="76380"/>
    <n v="11"/>
    <d v="2024-03-23T00:00:00"/>
    <n v="1"/>
    <x v="0"/>
    <s v="Bangalore"/>
    <s v="Mid"/>
    <s v="Senior"/>
    <n v="2024"/>
    <s v="High Risk"/>
  </r>
  <r>
    <s v="E265"/>
    <s v="Meena"/>
    <s v="Male"/>
    <n v="23"/>
    <x v="3"/>
    <s v="Sales Executive"/>
    <n v="44305"/>
    <n v="2"/>
    <d v="2018-11-28T00:00:00"/>
    <n v="1"/>
    <x v="1"/>
    <s v="Hyderabad"/>
    <s v="Young"/>
    <s v="Junior"/>
    <n v="2018"/>
    <s v="Stable"/>
  </r>
  <r>
    <s v="E266"/>
    <s v="Sana"/>
    <s v="Female"/>
    <n v="42"/>
    <x v="2"/>
    <s v="Talent Acquisition"/>
    <n v="68219"/>
    <n v="13"/>
    <d v="2021-11-28T00:00:00"/>
    <n v="2"/>
    <x v="0"/>
    <s v="Hyderabad"/>
    <s v="Senior"/>
    <s v="Senior"/>
    <n v="2021"/>
    <s v="High Risk"/>
  </r>
  <r>
    <s v="E267"/>
    <s v="Rohan"/>
    <s v="Male"/>
    <n v="44"/>
    <x v="1"/>
    <s v="Auditor"/>
    <n v="64240"/>
    <n v="9"/>
    <d v="2021-06-03T00:00:00"/>
    <n v="3"/>
    <x v="0"/>
    <s v="Pune"/>
    <s v="Senior"/>
    <s v="Senior"/>
    <n v="2021"/>
    <s v="Stable"/>
  </r>
  <r>
    <s v="E268"/>
    <s v="Priya"/>
    <s v="Female"/>
    <n v="30"/>
    <x v="0"/>
    <s v="BI Developer"/>
    <n v="61492"/>
    <n v="4"/>
    <d v="2024-09-17T00:00:00"/>
    <n v="2"/>
    <x v="1"/>
    <s v="Delhi"/>
    <s v="Mid"/>
    <s v="Mid"/>
    <n v="2024"/>
    <s v="Stable"/>
  </r>
  <r>
    <s v="E269"/>
    <s v="Pooja"/>
    <s v="Female"/>
    <n v="26"/>
    <x v="1"/>
    <s v="Financial Analyst"/>
    <n v="59786"/>
    <n v="5"/>
    <d v="2019-08-24T00:00:00"/>
    <n v="4"/>
    <x v="0"/>
    <s v="Delhi"/>
    <s v="Young"/>
    <s v="Mid"/>
    <n v="2019"/>
    <s v="Stable"/>
  </r>
  <r>
    <s v="E270"/>
    <s v="Anjali"/>
    <s v="Female"/>
    <n v="36"/>
    <x v="0"/>
    <s v="Python Developer"/>
    <n v="82862"/>
    <n v="15"/>
    <d v="2021-07-11T00:00:00"/>
    <n v="1"/>
    <x v="0"/>
    <s v="Hyderabad"/>
    <s v="Mid"/>
    <s v="Senior"/>
    <n v="2021"/>
    <s v="High Risk"/>
  </r>
  <r>
    <s v="E271"/>
    <s v="Ayesha"/>
    <s v="Male"/>
    <n v="34"/>
    <x v="3"/>
    <s v="Regional Manager"/>
    <n v="57039"/>
    <n v="6"/>
    <d v="2024-04-01T00:00:00"/>
    <n v="2"/>
    <x v="0"/>
    <s v="Mumbai"/>
    <s v="Mid"/>
    <s v="Mid"/>
    <n v="2024"/>
    <s v="High Risk"/>
  </r>
  <r>
    <s v="E272"/>
    <s v="Rohan"/>
    <s v="Female"/>
    <n v="43"/>
    <x v="1"/>
    <s v="Financial Analyst"/>
    <n v="40252"/>
    <n v="1"/>
    <d v="2016-02-12T00:00:00"/>
    <n v="4"/>
    <x v="1"/>
    <s v="Bangalore"/>
    <s v="Senior"/>
    <s v="Junior"/>
    <n v="2016"/>
    <s v="Stable"/>
  </r>
  <r>
    <s v="E273"/>
    <s v="Kavya"/>
    <s v="Male"/>
    <n v="28"/>
    <x v="3"/>
    <s v="Account Manager"/>
    <n v="55649"/>
    <n v="4"/>
    <d v="2018-05-21T00:00:00"/>
    <n v="2"/>
    <x v="0"/>
    <s v="Hyderabad"/>
    <s v="Young"/>
    <s v="Mid"/>
    <n v="2018"/>
    <s v="High Risk"/>
  </r>
  <r>
    <s v="E274"/>
    <s v="Anjali"/>
    <s v="Male"/>
    <n v="43"/>
    <x v="1"/>
    <s v="Auditor"/>
    <n v="50348"/>
    <n v="5"/>
    <d v="2019-06-12T00:00:00"/>
    <n v="3"/>
    <x v="0"/>
    <s v="Bangalore"/>
    <s v="Senior"/>
    <s v="Mid"/>
    <n v="2019"/>
    <s v="Stable"/>
  </r>
  <r>
    <s v="E275"/>
    <s v="Rahul"/>
    <s v="Male"/>
    <n v="28"/>
    <x v="3"/>
    <s v="Sales Executive"/>
    <n v="53776"/>
    <n v="7"/>
    <d v="2016-06-27T00:00:00"/>
    <n v="5"/>
    <x v="0"/>
    <s v="Delhi"/>
    <s v="Young"/>
    <s v="Mid"/>
    <n v="2016"/>
    <s v="Stable"/>
  </r>
  <r>
    <s v="E276"/>
    <s v="Rohan"/>
    <s v="Male"/>
    <n v="25"/>
    <x v="3"/>
    <s v="Sales Executive"/>
    <n v="56371"/>
    <n v="4"/>
    <d v="2016-06-25T00:00:00"/>
    <n v="4"/>
    <x v="1"/>
    <s v="Chennai"/>
    <s v="Young"/>
    <s v="Mid"/>
    <n v="2016"/>
    <s v="Stable"/>
  </r>
  <r>
    <s v="E277"/>
    <s v="Rohan"/>
    <s v="Male"/>
    <n v="33"/>
    <x v="0"/>
    <s v="Data Analyst"/>
    <n v="64746"/>
    <n v="9"/>
    <d v="2019-04-17T00:00:00"/>
    <n v="2"/>
    <x v="0"/>
    <s v="Hyderabad"/>
    <s v="Mid"/>
    <s v="Senior"/>
    <n v="2019"/>
    <s v="High Risk"/>
  </r>
  <r>
    <s v="E278"/>
    <s v="Imran"/>
    <s v="Male"/>
    <n v="33"/>
    <x v="0"/>
    <s v="QA Analyst"/>
    <n v="65290"/>
    <n v="6"/>
    <d v="2023-05-23T00:00:00"/>
    <n v="2"/>
    <x v="0"/>
    <s v="Chennai"/>
    <s v="Mid"/>
    <s v="Mid"/>
    <n v="2023"/>
    <s v="High Risk"/>
  </r>
  <r>
    <s v="E279"/>
    <s v="Arjun"/>
    <s v="Male"/>
    <n v="25"/>
    <x v="2"/>
    <s v="HR Executive"/>
    <n v="48759"/>
    <n v="4"/>
    <d v="2025-10-20T00:00:00"/>
    <n v="4"/>
    <x v="0"/>
    <s v="Bangalore"/>
    <s v="Young"/>
    <s v="Mid"/>
    <n v="2025"/>
    <s v="Stable"/>
  </r>
  <r>
    <s v="E280"/>
    <s v="Divya"/>
    <s v="Male"/>
    <n v="39"/>
    <x v="2"/>
    <s v="HR Associate"/>
    <n v="68262"/>
    <n v="9"/>
    <d v="2025-07-22T00:00:00"/>
    <n v="1"/>
    <x v="0"/>
    <s v="Mumbai"/>
    <s v="Mid"/>
    <s v="Senior"/>
    <n v="2025"/>
    <s v="High Risk"/>
  </r>
  <r>
    <s v="E281"/>
    <s v="Meena"/>
    <s v="Female"/>
    <n v="42"/>
    <x v="2"/>
    <s v="Talent Acquisition"/>
    <n v="48341"/>
    <n v="1"/>
    <d v="2025-01-25T00:00:00"/>
    <n v="2"/>
    <x v="0"/>
    <s v="Chennai"/>
    <s v="Senior"/>
    <s v="Junior"/>
    <n v="2025"/>
    <s v="High Risk"/>
  </r>
  <r>
    <s v="E282"/>
    <s v="Anjali"/>
    <s v="Male"/>
    <n v="32"/>
    <x v="0"/>
    <s v="QA Analyst"/>
    <n v="56337"/>
    <n v="4"/>
    <d v="2024-08-26T00:00:00"/>
    <n v="5"/>
    <x v="0"/>
    <s v="Pune"/>
    <s v="Mid"/>
    <s v="Mid"/>
    <n v="2024"/>
    <s v="Stable"/>
  </r>
  <r>
    <s v="E283"/>
    <s v="Rahul"/>
    <s v="Male"/>
    <n v="40"/>
    <x v="2"/>
    <s v="HR Manager"/>
    <n v="38225"/>
    <n v="2"/>
    <d v="2017-12-09T00:00:00"/>
    <n v="2"/>
    <x v="1"/>
    <s v="Hyderabad"/>
    <s v="Mid"/>
    <s v="Junior"/>
    <n v="2017"/>
    <s v="Stable"/>
  </r>
  <r>
    <s v="E284"/>
    <s v="Kavya"/>
    <s v="Female"/>
    <n v="44"/>
    <x v="3"/>
    <s v="Regional Manager"/>
    <n v="66350"/>
    <n v="12"/>
    <d v="2022-03-08T00:00:00"/>
    <n v="5"/>
    <x v="0"/>
    <s v="Bangalore"/>
    <s v="Senior"/>
    <s v="Senior"/>
    <n v="2022"/>
    <s v="Stable"/>
  </r>
  <r>
    <s v="E285"/>
    <s v="Amit"/>
    <s v="Female"/>
    <n v="38"/>
    <x v="1"/>
    <s v="Accountant"/>
    <n v="54545"/>
    <n v="6"/>
    <d v="2021-01-06T00:00:00"/>
    <n v="3"/>
    <x v="0"/>
    <s v="Delhi"/>
    <s v="Mid"/>
    <s v="Mid"/>
    <n v="2021"/>
    <s v="Stable"/>
  </r>
  <r>
    <s v="E286"/>
    <s v="Divya"/>
    <s v="Female"/>
    <n v="23"/>
    <x v="0"/>
    <s v="Support Engineer"/>
    <n v="46412"/>
    <n v="2"/>
    <d v="2025-05-15T00:00:00"/>
    <n v="4"/>
    <x v="0"/>
    <s v="Pune"/>
    <s v="Young"/>
    <s v="Junior"/>
    <n v="2025"/>
    <s v="Stable"/>
  </r>
  <r>
    <s v="E287"/>
    <s v="Sneha"/>
    <s v="Male"/>
    <n v="22"/>
    <x v="0"/>
    <s v="Support Engineer"/>
    <n v="53993"/>
    <n v="1"/>
    <d v="2015-02-16T00:00:00"/>
    <n v="2"/>
    <x v="0"/>
    <s v="Pune"/>
    <s v="Young"/>
    <s v="Junior"/>
    <n v="2015"/>
    <s v="High Risk"/>
  </r>
  <r>
    <s v="E288"/>
    <s v="Arjun"/>
    <s v="Female"/>
    <n v="45"/>
    <x v="1"/>
    <s v="Financial Analyst"/>
    <n v="69008"/>
    <n v="8"/>
    <d v="2024-12-09T00:00:00"/>
    <n v="1"/>
    <x v="1"/>
    <s v="Chennai"/>
    <s v="Senior"/>
    <s v="Senior"/>
    <n v="2024"/>
    <s v="Stable"/>
  </r>
  <r>
    <s v="E289"/>
    <s v="Tarun"/>
    <s v="Female"/>
    <n v="42"/>
    <x v="1"/>
    <s v="Accountant"/>
    <n v="50128"/>
    <n v="2"/>
    <d v="2020-02-08T00:00:00"/>
    <n v="5"/>
    <x v="0"/>
    <s v="Chennai"/>
    <s v="Senior"/>
    <s v="Junior"/>
    <n v="2020"/>
    <s v="Stable"/>
  </r>
  <r>
    <s v="E290"/>
    <s v="Karan"/>
    <s v="Male"/>
    <n v="25"/>
    <x v="2"/>
    <s v="HR Associate"/>
    <n v="44242"/>
    <n v="3"/>
    <d v="2023-04-23T00:00:00"/>
    <n v="5"/>
    <x v="1"/>
    <s v="Hyderabad"/>
    <s v="Young"/>
    <s v="Mid"/>
    <n v="2023"/>
    <s v="Stable"/>
  </r>
  <r>
    <s v="E291"/>
    <s v="Anjali"/>
    <s v="Female"/>
    <n v="34"/>
    <x v="2"/>
    <s v="HR Executive"/>
    <n v="45932"/>
    <n v="4"/>
    <d v="2025-06-11T00:00:00"/>
    <n v="1"/>
    <x v="0"/>
    <s v="Delhi"/>
    <s v="Mid"/>
    <s v="Mid"/>
    <n v="2025"/>
    <s v="High Risk"/>
  </r>
  <r>
    <s v="E292"/>
    <s v="Divya"/>
    <s v="Female"/>
    <n v="35"/>
    <x v="3"/>
    <s v="Inside Sales"/>
    <n v="64444"/>
    <n v="10"/>
    <d v="2024-04-06T00:00:00"/>
    <n v="1"/>
    <x v="0"/>
    <s v="Delhi"/>
    <s v="Mid"/>
    <s v="Senior"/>
    <n v="2024"/>
    <s v="High Risk"/>
  </r>
  <r>
    <s v="E293"/>
    <s v="Nikhil"/>
    <s v="Male"/>
    <n v="23"/>
    <x v="0"/>
    <s v="BI Developer"/>
    <n v="46129"/>
    <n v="2"/>
    <d v="2024-11-01T00:00:00"/>
    <n v="4"/>
    <x v="0"/>
    <s v="Mumbai"/>
    <s v="Young"/>
    <s v="Junior"/>
    <n v="2024"/>
    <s v="Stable"/>
  </r>
  <r>
    <s v="E294"/>
    <s v="Rahul"/>
    <s v="Female"/>
    <n v="33"/>
    <x v="1"/>
    <s v="Accountant"/>
    <n v="56777"/>
    <n v="6"/>
    <d v="2021-04-28T00:00:00"/>
    <n v="3"/>
    <x v="0"/>
    <s v="Bangalore"/>
    <s v="Mid"/>
    <s v="Mid"/>
    <n v="2021"/>
    <s v="Stable"/>
  </r>
  <r>
    <s v="E295"/>
    <s v="Vikram"/>
    <s v="Female"/>
    <n v="45"/>
    <x v="3"/>
    <s v="Regional Manager"/>
    <n v="54966"/>
    <n v="7"/>
    <d v="2015-01-27T00:00:00"/>
    <n v="4"/>
    <x v="1"/>
    <s v="Pune"/>
    <s v="Senior"/>
    <s v="Mid"/>
    <n v="2015"/>
    <s v="Stable"/>
  </r>
  <r>
    <s v="E296"/>
    <s v="Rahul"/>
    <s v="Female"/>
    <n v="43"/>
    <x v="1"/>
    <s v="Accountant"/>
    <n v="79092"/>
    <n v="12"/>
    <d v="2023-02-26T00:00:00"/>
    <n v="3"/>
    <x v="0"/>
    <s v="Pune"/>
    <s v="Senior"/>
    <s v="Senior"/>
    <n v="2023"/>
    <s v="Stable"/>
  </r>
  <r>
    <s v="E297"/>
    <s v="Priya"/>
    <s v="Female"/>
    <n v="26"/>
    <x v="2"/>
    <s v="HR Manager"/>
    <n v="47024"/>
    <n v="5"/>
    <d v="2015-06-29T00:00:00"/>
    <n v="2"/>
    <x v="0"/>
    <s v="Delhi"/>
    <s v="Young"/>
    <s v="Mid"/>
    <n v="2015"/>
    <s v="High Risk"/>
  </r>
  <r>
    <s v="E298"/>
    <s v="Tarun"/>
    <s v="Male"/>
    <n v="25"/>
    <x v="1"/>
    <s v="Senior Accountant"/>
    <n v="57440"/>
    <n v="4"/>
    <d v="2024-03-12T00:00:00"/>
    <n v="4"/>
    <x v="1"/>
    <s v="Pune"/>
    <s v="Young"/>
    <s v="Mid"/>
    <n v="2024"/>
    <s v="Stable"/>
  </r>
  <r>
    <s v="E299"/>
    <s v="Divya"/>
    <s v="Male"/>
    <n v="31"/>
    <x v="0"/>
    <s v="Python Developer"/>
    <n v="65161"/>
    <n v="8"/>
    <d v="2025-05-21T00:00:00"/>
    <n v="4"/>
    <x v="0"/>
    <s v="Delhi"/>
    <s v="Mid"/>
    <s v="Senior"/>
    <n v="2025"/>
    <s v="Stable"/>
  </r>
  <r>
    <s v="E300"/>
    <s v="Karan"/>
    <s v="Female"/>
    <n v="29"/>
    <x v="1"/>
    <s v="Auditor"/>
    <n v="45321"/>
    <n v="2"/>
    <d v="2016-07-11T00:00:00"/>
    <n v="5"/>
    <x v="0"/>
    <s v="Hyderabad"/>
    <s v="Young"/>
    <s v="Junior"/>
    <n v="2016"/>
    <s v="Stable"/>
  </r>
  <r>
    <s v="E301"/>
    <s v="Rohan"/>
    <s v="Female"/>
    <n v="35"/>
    <x v="2"/>
    <s v="HR Manager"/>
    <n v="49280"/>
    <n v="3"/>
    <d v="2019-01-07T00:00:00"/>
    <n v="2"/>
    <x v="0"/>
    <s v="Hyderabad"/>
    <s v="Mid"/>
    <s v="Mid"/>
    <n v="2019"/>
    <s v="High Risk"/>
  </r>
  <r>
    <s v="E302"/>
    <s v="Sana"/>
    <s v="Female"/>
    <n v="23"/>
    <x v="0"/>
    <s v="BI Developer"/>
    <n v="50370"/>
    <n v="2"/>
    <d v="2016-08-30T00:00:00"/>
    <n v="1"/>
    <x v="0"/>
    <s v="Chennai"/>
    <s v="Young"/>
    <s v="Junior"/>
    <n v="2016"/>
    <s v="High Risk"/>
  </r>
  <r>
    <s v="E303"/>
    <s v="Neha"/>
    <s v="Female"/>
    <n v="22"/>
    <x v="0"/>
    <s v="Support Engineer"/>
    <n v="49908"/>
    <n v="1"/>
    <d v="2021-03-27T00:00:00"/>
    <n v="5"/>
    <x v="0"/>
    <s v="Chennai"/>
    <s v="Young"/>
    <s v="Junior"/>
    <n v="2021"/>
    <s v="Stable"/>
  </r>
  <r>
    <s v="E304"/>
    <s v="Rahul"/>
    <s v="Male"/>
    <n v="23"/>
    <x v="0"/>
    <s v="BI Developer"/>
    <n v="47141"/>
    <n v="2"/>
    <d v="2017-03-22T00:00:00"/>
    <n v="4"/>
    <x v="0"/>
    <s v="Delhi"/>
    <s v="Young"/>
    <s v="Junior"/>
    <n v="2017"/>
    <s v="Stable"/>
  </r>
  <r>
    <s v="E305"/>
    <s v="Amit"/>
    <s v="Female"/>
    <n v="22"/>
    <x v="0"/>
    <s v="QA Analyst"/>
    <n v="45739"/>
    <n v="1"/>
    <d v="2025-02-13T00:00:00"/>
    <n v="4"/>
    <x v="0"/>
    <s v="Hyderabad"/>
    <s v="Young"/>
    <s v="Junior"/>
    <n v="2025"/>
    <s v="Stable"/>
  </r>
  <r>
    <s v="E306"/>
    <s v="Imran"/>
    <s v="Male"/>
    <n v="23"/>
    <x v="1"/>
    <s v="Accountant"/>
    <n v="51402"/>
    <n v="2"/>
    <d v="2019-11-10T00:00:00"/>
    <n v="4"/>
    <x v="0"/>
    <s v="Chennai"/>
    <s v="Young"/>
    <s v="Junior"/>
    <n v="2019"/>
    <s v="Stable"/>
  </r>
  <r>
    <s v="E307"/>
    <s v="Vikram"/>
    <s v="Female"/>
    <n v="27"/>
    <x v="3"/>
    <s v="Inside Sales"/>
    <n v="54585"/>
    <n v="6"/>
    <d v="2020-01-01T00:00:00"/>
    <n v="2"/>
    <x v="1"/>
    <s v="Pune"/>
    <s v="Young"/>
    <s v="Mid"/>
    <n v="2020"/>
    <s v="Stable"/>
  </r>
  <r>
    <s v="E308"/>
    <s v="Kavya"/>
    <s v="Female"/>
    <n v="39"/>
    <x v="2"/>
    <s v="HR Associate"/>
    <n v="71499"/>
    <n v="15"/>
    <d v="2015-12-26T00:00:00"/>
    <n v="3"/>
    <x v="0"/>
    <s v="Chennai"/>
    <s v="Mid"/>
    <s v="Senior"/>
    <n v="2015"/>
    <s v="Stable"/>
  </r>
  <r>
    <s v="E309"/>
    <s v="Sameer"/>
    <s v="Male"/>
    <n v="44"/>
    <x v="2"/>
    <s v="Talent Acquisition"/>
    <n v="68359"/>
    <n v="11"/>
    <d v="2021-02-08T00:00:00"/>
    <n v="4"/>
    <x v="0"/>
    <s v="Pune"/>
    <s v="Senior"/>
    <s v="Senior"/>
    <n v="2021"/>
    <s v="Stable"/>
  </r>
  <r>
    <s v="E310"/>
    <s v="Neha"/>
    <s v="Female"/>
    <n v="22"/>
    <x v="1"/>
    <s v="Senior Accountant"/>
    <n v="49283"/>
    <n v="1"/>
    <d v="2017-06-16T00:00:00"/>
    <n v="1"/>
    <x v="0"/>
    <s v="Hyderabad"/>
    <s v="Young"/>
    <s v="Junior"/>
    <n v="2017"/>
    <s v="High Risk"/>
  </r>
  <r>
    <s v="E311"/>
    <s v="Neha"/>
    <s v="Male"/>
    <n v="25"/>
    <x v="3"/>
    <s v="Regional Manager"/>
    <n v="55762"/>
    <n v="4"/>
    <d v="2017-09-14T00:00:00"/>
    <n v="3"/>
    <x v="0"/>
    <s v="Delhi"/>
    <s v="Young"/>
    <s v="Mid"/>
    <n v="2017"/>
    <s v="Stable"/>
  </r>
  <r>
    <s v="E312"/>
    <s v="Anjali"/>
    <s v="Female"/>
    <n v="27"/>
    <x v="0"/>
    <s v="BI Developer"/>
    <n v="56375"/>
    <n v="5"/>
    <d v="2021-08-23T00:00:00"/>
    <n v="3"/>
    <x v="0"/>
    <s v="Delhi"/>
    <s v="Young"/>
    <s v="Mid"/>
    <n v="2021"/>
    <s v="Stable"/>
  </r>
  <r>
    <s v="E313"/>
    <s v="Tarun"/>
    <s v="Female"/>
    <n v="40"/>
    <x v="1"/>
    <s v="Accountant"/>
    <n v="56225"/>
    <n v="4"/>
    <d v="2025-08-20T00:00:00"/>
    <n v="2"/>
    <x v="0"/>
    <s v="Chennai"/>
    <s v="Mid"/>
    <s v="Mid"/>
    <n v="2025"/>
    <s v="High Risk"/>
  </r>
  <r>
    <s v="E314"/>
    <s v="Priya"/>
    <s v="Female"/>
    <n v="24"/>
    <x v="1"/>
    <s v="Financial Analyst"/>
    <n v="43311"/>
    <n v="1"/>
    <d v="2021-09-30T00:00:00"/>
    <n v="2"/>
    <x v="1"/>
    <s v="Chennai"/>
    <s v="Young"/>
    <s v="Junior"/>
    <n v="2021"/>
    <s v="Stable"/>
  </r>
  <r>
    <s v="E315"/>
    <s v="Arjun"/>
    <s v="Male"/>
    <n v="32"/>
    <x v="0"/>
    <s v="Support Engineer"/>
    <n v="57801"/>
    <n v="5"/>
    <d v="2015-09-01T00:00:00"/>
    <n v="1"/>
    <x v="1"/>
    <s v="Delhi"/>
    <s v="Mid"/>
    <s v="Mid"/>
    <n v="2015"/>
    <s v="Stable"/>
  </r>
  <r>
    <s v="E316"/>
    <s v="Amit"/>
    <s v="Female"/>
    <n v="33"/>
    <x v="2"/>
    <s v="HR Executive"/>
    <n v="72601"/>
    <n v="12"/>
    <d v="2016-02-18T00:00:00"/>
    <n v="3"/>
    <x v="0"/>
    <s v="Bangalore"/>
    <s v="Mid"/>
    <s v="Senior"/>
    <n v="2016"/>
    <s v="Stable"/>
  </r>
  <r>
    <s v="E317"/>
    <s v="Rohan"/>
    <s v="Female"/>
    <n v="27"/>
    <x v="2"/>
    <s v="HR Manager"/>
    <n v="51657"/>
    <n v="6"/>
    <d v="2022-06-19T00:00:00"/>
    <n v="5"/>
    <x v="0"/>
    <s v="Chennai"/>
    <s v="Young"/>
    <s v="Mid"/>
    <n v="2022"/>
    <s v="Stable"/>
  </r>
  <r>
    <s v="E318"/>
    <s v="Neha"/>
    <s v="Male"/>
    <n v="45"/>
    <x v="1"/>
    <s v="Auditor"/>
    <n v="48501"/>
    <n v="0"/>
    <d v="2025-08-21T00:00:00"/>
    <n v="5"/>
    <x v="0"/>
    <s v="Pune"/>
    <s v="Senior"/>
    <s v="Junior"/>
    <n v="2025"/>
    <s v="Stable"/>
  </r>
  <r>
    <s v="E319"/>
    <s v="Sana"/>
    <s v="Female"/>
    <n v="29"/>
    <x v="0"/>
    <s v="BI Developer"/>
    <n v="55629"/>
    <n v="3"/>
    <d v="2016-07-30T00:00:00"/>
    <n v="3"/>
    <x v="0"/>
    <s v="Bangalore"/>
    <s v="Young"/>
    <s v="Mid"/>
    <n v="2016"/>
    <s v="Stable"/>
  </r>
  <r>
    <s v="E320"/>
    <s v="Amit"/>
    <s v="Male"/>
    <n v="44"/>
    <x v="1"/>
    <s v="Auditor"/>
    <n v="69317"/>
    <n v="10"/>
    <d v="2015-02-16T00:00:00"/>
    <n v="3"/>
    <x v="0"/>
    <s v="Delhi"/>
    <s v="Senior"/>
    <s v="Senior"/>
    <n v="2015"/>
    <s v="Stable"/>
  </r>
  <r>
    <s v="E321"/>
    <s v="Sneha"/>
    <s v="Female"/>
    <n v="45"/>
    <x v="0"/>
    <s v="Support Engineer"/>
    <n v="40788"/>
    <n v="0"/>
    <d v="2019-04-30T00:00:00"/>
    <n v="4"/>
    <x v="0"/>
    <s v="Bangalore"/>
    <s v="Senior"/>
    <s v="Junior"/>
    <n v="2019"/>
    <s v="Stable"/>
  </r>
  <r>
    <s v="E322"/>
    <s v="Anjali"/>
    <s v="Female"/>
    <n v="39"/>
    <x v="3"/>
    <s v="Account Manager"/>
    <n v="66661"/>
    <n v="12"/>
    <d v="2024-04-17T00:00:00"/>
    <n v="4"/>
    <x v="0"/>
    <s v="Pune"/>
    <s v="Mid"/>
    <s v="Senior"/>
    <n v="2024"/>
    <s v="Stable"/>
  </r>
  <r>
    <s v="E323"/>
    <s v="Amit"/>
    <s v="Female"/>
    <n v="23"/>
    <x v="2"/>
    <s v="Talent Acquisition"/>
    <n v="38328"/>
    <n v="2"/>
    <d v="2018-07-29T00:00:00"/>
    <n v="3"/>
    <x v="0"/>
    <s v="Hyderabad"/>
    <s v="Young"/>
    <s v="Junior"/>
    <n v="2018"/>
    <s v="Stable"/>
  </r>
  <r>
    <s v="E324"/>
    <s v="Neha"/>
    <s v="Female"/>
    <n v="45"/>
    <x v="1"/>
    <s v="Financial Analyst"/>
    <n v="50962"/>
    <n v="2"/>
    <d v="2025-07-24T00:00:00"/>
    <n v="1"/>
    <x v="1"/>
    <s v="Pune"/>
    <s v="Senior"/>
    <s v="Junior"/>
    <n v="2025"/>
    <s v="Stable"/>
  </r>
  <r>
    <s v="E325"/>
    <s v="Neha"/>
    <s v="Female"/>
    <n v="41"/>
    <x v="3"/>
    <s v="Sales Executive"/>
    <n v="70073"/>
    <n v="13"/>
    <d v="2015-08-08T00:00:00"/>
    <n v="1"/>
    <x v="1"/>
    <s v="Bangalore"/>
    <s v="Senior"/>
    <s v="Senior"/>
    <n v="2015"/>
    <s v="Stable"/>
  </r>
  <r>
    <s v="E326"/>
    <s v="Meena"/>
    <s v="Female"/>
    <n v="29"/>
    <x v="3"/>
    <s v="Regional Manager"/>
    <n v="43313"/>
    <n v="3"/>
    <d v="2019-05-29T00:00:00"/>
    <n v="5"/>
    <x v="0"/>
    <s v="Chennai"/>
    <s v="Young"/>
    <s v="Mid"/>
    <n v="2019"/>
    <s v="Stable"/>
  </r>
  <r>
    <s v="E327"/>
    <s v="Rahul"/>
    <s v="Female"/>
    <n v="35"/>
    <x v="2"/>
    <s v="HR Executive"/>
    <n v="42825"/>
    <n v="2"/>
    <d v="2024-03-28T00:00:00"/>
    <n v="5"/>
    <x v="0"/>
    <s v="Hyderabad"/>
    <s v="Mid"/>
    <s v="Junior"/>
    <n v="2024"/>
    <s v="Stable"/>
  </r>
  <r>
    <s v="E328"/>
    <s v="Meena"/>
    <s v="Male"/>
    <n v="24"/>
    <x v="0"/>
    <s v="BI Developer"/>
    <n v="49392"/>
    <n v="3"/>
    <d v="2018-06-17T00:00:00"/>
    <n v="4"/>
    <x v="0"/>
    <s v="Delhi"/>
    <s v="Young"/>
    <s v="Mid"/>
    <n v="2018"/>
    <s v="Stable"/>
  </r>
  <r>
    <s v="E329"/>
    <s v="Neha"/>
    <s v="Female"/>
    <n v="33"/>
    <x v="1"/>
    <s v="Accountant"/>
    <n v="73052"/>
    <n v="12"/>
    <d v="2017-02-03T00:00:00"/>
    <n v="4"/>
    <x v="1"/>
    <s v="Chennai"/>
    <s v="Mid"/>
    <s v="Senior"/>
    <n v="2017"/>
    <s v="Stable"/>
  </r>
  <r>
    <s v="E330"/>
    <s v="Karan"/>
    <s v="Male"/>
    <n v="40"/>
    <x v="3"/>
    <s v="Regional Manager"/>
    <n v="39976"/>
    <n v="1"/>
    <d v="2023-06-09T00:00:00"/>
    <n v="1"/>
    <x v="1"/>
    <s v="Mumbai"/>
    <s v="Mid"/>
    <s v="Junior"/>
    <n v="2023"/>
    <s v="Stable"/>
  </r>
  <r>
    <s v="E331"/>
    <s v="Sameer"/>
    <s v="Male"/>
    <n v="38"/>
    <x v="3"/>
    <s v="Inside Sales"/>
    <n v="76273"/>
    <n v="13"/>
    <d v="2022-09-15T00:00:00"/>
    <n v="4"/>
    <x v="0"/>
    <s v="Bangalore"/>
    <s v="Mid"/>
    <s v="Senior"/>
    <n v="2022"/>
    <s v="Stable"/>
  </r>
  <r>
    <s v="E332"/>
    <s v="Sameer"/>
    <s v="Male"/>
    <n v="44"/>
    <x v="3"/>
    <s v="Regional Manager"/>
    <n v="45726"/>
    <n v="1"/>
    <d v="2021-05-28T00:00:00"/>
    <n v="5"/>
    <x v="0"/>
    <s v="Delhi"/>
    <s v="Senior"/>
    <s v="Junior"/>
    <n v="2021"/>
    <s v="Stable"/>
  </r>
  <r>
    <s v="E333"/>
    <s v="Neha"/>
    <s v="Female"/>
    <n v="27"/>
    <x v="2"/>
    <s v="HR Executive"/>
    <n v="51157"/>
    <n v="6"/>
    <d v="2016-05-31T00:00:00"/>
    <n v="1"/>
    <x v="1"/>
    <s v="Delhi"/>
    <s v="Young"/>
    <s v="Mid"/>
    <n v="2016"/>
    <s v="Stable"/>
  </r>
  <r>
    <s v="E334"/>
    <s v="Sana"/>
    <s v="Male"/>
    <n v="30"/>
    <x v="3"/>
    <s v="Inside Sales"/>
    <n v="69412"/>
    <n v="9"/>
    <d v="2025-04-02T00:00:00"/>
    <n v="1"/>
    <x v="1"/>
    <s v="Pune"/>
    <s v="Mid"/>
    <s v="Senior"/>
    <n v="2025"/>
    <s v="Stable"/>
  </r>
  <r>
    <s v="E335"/>
    <s v="Nikhil"/>
    <s v="Female"/>
    <n v="36"/>
    <x v="3"/>
    <s v="Regional Manager"/>
    <n v="47886"/>
    <n v="0"/>
    <d v="2022-11-08T00:00:00"/>
    <n v="5"/>
    <x v="0"/>
    <s v="Chennai"/>
    <s v="Mid"/>
    <s v="Junior"/>
    <n v="2022"/>
    <s v="Stable"/>
  </r>
  <r>
    <s v="E336"/>
    <s v="Arjun"/>
    <s v="Male"/>
    <n v="40"/>
    <x v="0"/>
    <s v="Python Developer"/>
    <n v="49230"/>
    <n v="3"/>
    <d v="2021-04-23T00:00:00"/>
    <n v="1"/>
    <x v="0"/>
    <s v="Mumbai"/>
    <s v="Mid"/>
    <s v="Mid"/>
    <n v="2021"/>
    <s v="High Risk"/>
  </r>
  <r>
    <s v="E337"/>
    <s v="Pooja"/>
    <s v="Female"/>
    <n v="40"/>
    <x v="3"/>
    <s v="Regional Manager"/>
    <n v="73113"/>
    <n v="15"/>
    <d v="2016-12-06T00:00:00"/>
    <n v="3"/>
    <x v="0"/>
    <s v="Pune"/>
    <s v="Mid"/>
    <s v="Senior"/>
    <n v="2016"/>
    <s v="Stable"/>
  </r>
  <r>
    <s v="E338"/>
    <s v="Rohan"/>
    <s v="Female"/>
    <n v="44"/>
    <x v="3"/>
    <s v="Sales Executive"/>
    <n v="53307"/>
    <n v="7"/>
    <d v="2023-05-13T00:00:00"/>
    <n v="4"/>
    <x v="0"/>
    <s v="Mumbai"/>
    <s v="Senior"/>
    <s v="Mid"/>
    <n v="2023"/>
    <s v="Stable"/>
  </r>
  <r>
    <s v="E339"/>
    <s v="Meena"/>
    <s v="Female"/>
    <n v="30"/>
    <x v="0"/>
    <s v="Support Engineer"/>
    <n v="73906"/>
    <n v="9"/>
    <d v="2022-09-06T00:00:00"/>
    <n v="1"/>
    <x v="0"/>
    <s v="Mumbai"/>
    <s v="Mid"/>
    <s v="Senior"/>
    <n v="2022"/>
    <s v="High Risk"/>
  </r>
  <r>
    <s v="E340"/>
    <s v="Kavya"/>
    <s v="Female"/>
    <n v="41"/>
    <x v="3"/>
    <s v="Regional Manager"/>
    <n v="43079"/>
    <n v="2"/>
    <d v="2019-12-15T00:00:00"/>
    <n v="2"/>
    <x v="0"/>
    <s v="Chennai"/>
    <s v="Senior"/>
    <s v="Junior"/>
    <n v="2019"/>
    <s v="High Risk"/>
  </r>
  <r>
    <s v="E341"/>
    <s v="Amit"/>
    <s v="Male"/>
    <n v="31"/>
    <x v="1"/>
    <s v="Accountant"/>
    <n v="64222"/>
    <n v="10"/>
    <d v="2023-10-02T00:00:00"/>
    <n v="5"/>
    <x v="0"/>
    <s v="Hyderabad"/>
    <s v="Mid"/>
    <s v="Senior"/>
    <n v="2023"/>
    <s v="Stable"/>
  </r>
  <r>
    <s v="E342"/>
    <s v="Priya"/>
    <s v="Male"/>
    <n v="29"/>
    <x v="2"/>
    <s v="Talent Acquisition"/>
    <n v="42978"/>
    <n v="1"/>
    <d v="2015-07-27T00:00:00"/>
    <n v="3"/>
    <x v="0"/>
    <s v="Mumbai"/>
    <s v="Young"/>
    <s v="Junior"/>
    <n v="2015"/>
    <s v="Stable"/>
  </r>
  <r>
    <s v="E343"/>
    <s v="Sneha"/>
    <s v="Female"/>
    <n v="43"/>
    <x v="1"/>
    <s v="Senior Accountant"/>
    <n v="40963"/>
    <n v="0"/>
    <d v="2019-03-06T00:00:00"/>
    <n v="4"/>
    <x v="0"/>
    <s v="Bangalore"/>
    <s v="Senior"/>
    <s v="Junior"/>
    <n v="2019"/>
    <s v="Stable"/>
  </r>
  <r>
    <s v="E344"/>
    <s v="Neha"/>
    <s v="Female"/>
    <n v="30"/>
    <x v="3"/>
    <s v="Regional Manager"/>
    <n v="44670"/>
    <n v="2"/>
    <d v="2015-04-23T00:00:00"/>
    <n v="4"/>
    <x v="1"/>
    <s v="Pune"/>
    <s v="Mid"/>
    <s v="Junior"/>
    <n v="2015"/>
    <s v="Stable"/>
  </r>
  <r>
    <s v="E345"/>
    <s v="Vikram"/>
    <s v="Male"/>
    <n v="30"/>
    <x v="2"/>
    <s v="Talent Acquisition"/>
    <n v="63909"/>
    <n v="9"/>
    <d v="2015-03-24T00:00:00"/>
    <n v="1"/>
    <x v="0"/>
    <s v="Bangalore"/>
    <s v="Mid"/>
    <s v="Senior"/>
    <n v="2015"/>
    <s v="High Risk"/>
  </r>
  <r>
    <s v="E346"/>
    <s v="Sana"/>
    <s v="Female"/>
    <n v="31"/>
    <x v="0"/>
    <s v="BI Developer"/>
    <n v="66943"/>
    <n v="8"/>
    <d v="2025-01-15T00:00:00"/>
    <n v="4"/>
    <x v="0"/>
    <s v="Chennai"/>
    <s v="Mid"/>
    <s v="Senior"/>
    <n v="2025"/>
    <s v="Stable"/>
  </r>
  <r>
    <s v="E347"/>
    <s v="Meena"/>
    <s v="Female"/>
    <n v="43"/>
    <x v="1"/>
    <s v="Financial Analyst"/>
    <n v="76576"/>
    <n v="12"/>
    <d v="2016-02-24T00:00:00"/>
    <n v="1"/>
    <x v="0"/>
    <s v="Mumbai"/>
    <s v="Senior"/>
    <s v="Senior"/>
    <n v="2016"/>
    <s v="High Risk"/>
  </r>
  <r>
    <s v="E348"/>
    <s v="Pooja"/>
    <s v="Male"/>
    <n v="24"/>
    <x v="1"/>
    <s v="Auditor"/>
    <n v="49029"/>
    <n v="3"/>
    <d v="2022-03-08T00:00:00"/>
    <n v="3"/>
    <x v="0"/>
    <s v="Mumbai"/>
    <s v="Young"/>
    <s v="Mid"/>
    <n v="2022"/>
    <s v="Stable"/>
  </r>
  <r>
    <s v="E349"/>
    <s v="Nikhil"/>
    <s v="Male"/>
    <n v="29"/>
    <x v="1"/>
    <s v="Financial Analyst"/>
    <n v="49330"/>
    <n v="1"/>
    <d v="2019-07-14T00:00:00"/>
    <n v="3"/>
    <x v="0"/>
    <s v="Delhi"/>
    <s v="Young"/>
    <s v="Junior"/>
    <n v="2019"/>
    <s v="Stable"/>
  </r>
  <r>
    <s v="E350"/>
    <s v="Karan"/>
    <s v="Female"/>
    <n v="35"/>
    <x v="0"/>
    <s v="Python Developer"/>
    <n v="76361"/>
    <n v="12"/>
    <d v="2023-04-06T00:00:00"/>
    <n v="1"/>
    <x v="0"/>
    <s v="Bangalore"/>
    <s v="Mid"/>
    <s v="Senior"/>
    <n v="2023"/>
    <s v="High Risk"/>
  </r>
  <r>
    <s v="E351"/>
    <s v="Anjali"/>
    <s v="Female"/>
    <n v="38"/>
    <x v="1"/>
    <s v="Financial Analyst"/>
    <n v="62285"/>
    <n v="9"/>
    <d v="2024-06-05T00:00:00"/>
    <n v="5"/>
    <x v="0"/>
    <s v="Hyderabad"/>
    <s v="Mid"/>
    <s v="Senior"/>
    <n v="2024"/>
    <s v="Stable"/>
  </r>
  <r>
    <s v="E352"/>
    <s v="Ayesha"/>
    <s v="Female"/>
    <n v="27"/>
    <x v="3"/>
    <s v="Inside Sales"/>
    <n v="60722"/>
    <n v="6"/>
    <d v="2016-01-01T00:00:00"/>
    <n v="2"/>
    <x v="1"/>
    <s v="Delhi"/>
    <s v="Young"/>
    <s v="Mid"/>
    <n v="2016"/>
    <s v="Stable"/>
  </r>
  <r>
    <s v="E353"/>
    <s v="Anjali"/>
    <s v="Female"/>
    <n v="30"/>
    <x v="1"/>
    <s v="Senior Accountant"/>
    <n v="67098"/>
    <n v="9"/>
    <d v="2024-07-18T00:00:00"/>
    <n v="1"/>
    <x v="0"/>
    <s v="Pune"/>
    <s v="Mid"/>
    <s v="Senior"/>
    <n v="2024"/>
    <s v="High Risk"/>
  </r>
  <r>
    <s v="E354"/>
    <s v="Nikhil"/>
    <s v="Male"/>
    <n v="25"/>
    <x v="0"/>
    <s v="Python Developer"/>
    <n v="58680"/>
    <n v="4"/>
    <d v="2018-05-07T00:00:00"/>
    <n v="4"/>
    <x v="1"/>
    <s v="Bangalore"/>
    <s v="Young"/>
    <s v="Mid"/>
    <n v="2018"/>
    <s v="Stable"/>
  </r>
  <r>
    <s v="E355"/>
    <s v="Kavya"/>
    <s v="Female"/>
    <n v="40"/>
    <x v="2"/>
    <s v="Talent Acquisition"/>
    <n v="70346"/>
    <n v="14"/>
    <d v="2018-07-19T00:00:00"/>
    <n v="2"/>
    <x v="0"/>
    <s v="Delhi"/>
    <s v="Mid"/>
    <s v="Senior"/>
    <n v="2018"/>
    <s v="High Risk"/>
  </r>
  <r>
    <s v="E356"/>
    <s v="Rahul"/>
    <s v="Male"/>
    <n v="36"/>
    <x v="2"/>
    <s v="HR Associate"/>
    <n v="56430"/>
    <n v="8"/>
    <d v="2023-07-15T00:00:00"/>
    <n v="2"/>
    <x v="0"/>
    <s v="Hyderabad"/>
    <s v="Mid"/>
    <s v="Senior"/>
    <n v="2023"/>
    <s v="High Risk"/>
  </r>
  <r>
    <s v="E357"/>
    <s v="Sameer"/>
    <s v="Female"/>
    <n v="35"/>
    <x v="2"/>
    <s v="HR Manager"/>
    <n v="74280"/>
    <n v="14"/>
    <d v="2015-01-20T00:00:00"/>
    <n v="1"/>
    <x v="0"/>
    <s v="Hyderabad"/>
    <s v="Mid"/>
    <s v="Senior"/>
    <n v="2015"/>
    <s v="High Risk"/>
  </r>
  <r>
    <s v="E358"/>
    <s v="Rahul"/>
    <s v="Male"/>
    <n v="42"/>
    <x v="1"/>
    <s v="Financial Analyst"/>
    <n v="58207"/>
    <n v="7"/>
    <d v="2022-10-11T00:00:00"/>
    <n v="3"/>
    <x v="0"/>
    <s v="Hyderabad"/>
    <s v="Senior"/>
    <s v="Mid"/>
    <n v="2022"/>
    <s v="Stable"/>
  </r>
  <r>
    <s v="E359"/>
    <s v="Amit"/>
    <s v="Male"/>
    <n v="23"/>
    <x v="3"/>
    <s v="Regional Manager"/>
    <n v="44764"/>
    <n v="2"/>
    <d v="2020-02-11T00:00:00"/>
    <n v="5"/>
    <x v="0"/>
    <s v="Mumbai"/>
    <s v="Young"/>
    <s v="Junior"/>
    <n v="2020"/>
    <s v="Stable"/>
  </r>
  <r>
    <s v="E360"/>
    <s v="Pooja"/>
    <s v="Female"/>
    <n v="33"/>
    <x v="3"/>
    <s v="Inside Sales"/>
    <n v="52701"/>
    <n v="6"/>
    <d v="2025-08-19T00:00:00"/>
    <n v="4"/>
    <x v="1"/>
    <s v="Bangalore"/>
    <s v="Mid"/>
    <s v="Mid"/>
    <n v="2025"/>
    <s v="Stable"/>
  </r>
  <r>
    <s v="E361"/>
    <s v="Tarun"/>
    <s v="Male"/>
    <n v="38"/>
    <x v="2"/>
    <s v="Talent Acquisition"/>
    <n v="47517"/>
    <n v="5"/>
    <d v="2019-02-10T00:00:00"/>
    <n v="1"/>
    <x v="1"/>
    <s v="Delhi"/>
    <s v="Mid"/>
    <s v="Mid"/>
    <n v="2019"/>
    <s v="Stable"/>
  </r>
  <r>
    <s v="E362"/>
    <s v="Sneha"/>
    <s v="Male"/>
    <n v="42"/>
    <x v="1"/>
    <s v="Accountant"/>
    <n v="37790"/>
    <n v="0"/>
    <d v="2022-09-26T00:00:00"/>
    <n v="1"/>
    <x v="1"/>
    <s v="Chennai"/>
    <s v="Senior"/>
    <s v="Junior"/>
    <n v="2022"/>
    <s v="Stable"/>
  </r>
  <r>
    <s v="E363"/>
    <s v="Pooja"/>
    <s v="Female"/>
    <n v="44"/>
    <x v="0"/>
    <s v="QA Analyst"/>
    <n v="53366"/>
    <n v="4"/>
    <d v="2022-10-18T00:00:00"/>
    <n v="1"/>
    <x v="1"/>
    <s v="Delhi"/>
    <s v="Senior"/>
    <s v="Mid"/>
    <n v="2022"/>
    <s v="Stable"/>
  </r>
  <r>
    <s v="E364"/>
    <s v="Sana"/>
    <s v="Female"/>
    <n v="41"/>
    <x v="0"/>
    <s v="QA Analyst"/>
    <n v="56862"/>
    <n v="4"/>
    <d v="2024-04-25T00:00:00"/>
    <n v="1"/>
    <x v="0"/>
    <s v="Mumbai"/>
    <s v="Senior"/>
    <s v="Mid"/>
    <n v="2024"/>
    <s v="High Risk"/>
  </r>
  <r>
    <s v="E365"/>
    <s v="Vikram"/>
    <s v="Female"/>
    <n v="41"/>
    <x v="0"/>
    <s v="Data Analyst"/>
    <n v="67746"/>
    <n v="6"/>
    <d v="2017-12-13T00:00:00"/>
    <n v="5"/>
    <x v="0"/>
    <s v="Mumbai"/>
    <s v="Senior"/>
    <s v="Mid"/>
    <n v="2017"/>
    <s v="Stable"/>
  </r>
  <r>
    <s v="E366"/>
    <s v="Priya"/>
    <s v="Male"/>
    <n v="39"/>
    <x v="3"/>
    <s v="Regional Manager"/>
    <n v="75902"/>
    <n v="15"/>
    <d v="2022-09-19T00:00:00"/>
    <n v="4"/>
    <x v="0"/>
    <s v="Hyderabad"/>
    <s v="Mid"/>
    <s v="Senior"/>
    <n v="2022"/>
    <s v="Stable"/>
  </r>
  <r>
    <s v="E367"/>
    <s v="Tarun"/>
    <s v="Male"/>
    <n v="43"/>
    <x v="0"/>
    <s v="Data Analyst"/>
    <n v="79943"/>
    <n v="15"/>
    <d v="2025-08-24T00:00:00"/>
    <n v="1"/>
    <x v="1"/>
    <s v="Delhi"/>
    <s v="Senior"/>
    <s v="Senior"/>
    <n v="2025"/>
    <s v="Stable"/>
  </r>
  <r>
    <s v="E368"/>
    <s v="Imran"/>
    <s v="Male"/>
    <n v="31"/>
    <x v="0"/>
    <s v="Support Engineer"/>
    <n v="67606"/>
    <n v="8"/>
    <d v="2015-07-25T00:00:00"/>
    <n v="1"/>
    <x v="0"/>
    <s v="Mumbai"/>
    <s v="Mid"/>
    <s v="Senior"/>
    <n v="2015"/>
    <s v="High Risk"/>
  </r>
  <r>
    <s v="E369"/>
    <s v="Sneha"/>
    <s v="Female"/>
    <n v="25"/>
    <x v="1"/>
    <s v="Auditor"/>
    <n v="39658"/>
    <n v="1"/>
    <d v="2024-07-21T00:00:00"/>
    <n v="2"/>
    <x v="0"/>
    <s v="Mumbai"/>
    <s v="Young"/>
    <s v="Junior"/>
    <n v="2024"/>
    <s v="High Risk"/>
  </r>
  <r>
    <s v="E370"/>
    <s v="Anjali"/>
    <s v="Male"/>
    <n v="32"/>
    <x v="3"/>
    <s v="Regional Manager"/>
    <n v="49365"/>
    <n v="5"/>
    <d v="2019-06-30T00:00:00"/>
    <n v="4"/>
    <x v="0"/>
    <s v="Mumbai"/>
    <s v="Mid"/>
    <s v="Mid"/>
    <n v="2019"/>
    <s v="Stable"/>
  </r>
  <r>
    <s v="E371"/>
    <s v="Neha"/>
    <s v="Female"/>
    <n v="25"/>
    <x v="3"/>
    <s v="Account Manager"/>
    <n v="56406"/>
    <n v="4"/>
    <d v="2023-02-23T00:00:00"/>
    <n v="1"/>
    <x v="0"/>
    <s v="Hyderabad"/>
    <s v="Young"/>
    <s v="Mid"/>
    <n v="2023"/>
    <s v="High Risk"/>
  </r>
  <r>
    <s v="E372"/>
    <s v="Neha"/>
    <s v="Female"/>
    <n v="41"/>
    <x v="3"/>
    <s v="Account Manager"/>
    <n v="77765"/>
    <n v="12"/>
    <d v="2019-01-08T00:00:00"/>
    <n v="5"/>
    <x v="1"/>
    <s v="Delhi"/>
    <s v="Senior"/>
    <s v="Senior"/>
    <n v="2019"/>
    <s v="Stable"/>
  </r>
  <r>
    <s v="E373"/>
    <s v="Sneha"/>
    <s v="Female"/>
    <n v="35"/>
    <x v="2"/>
    <s v="HR Manager"/>
    <n v="68753"/>
    <n v="14"/>
    <d v="2015-09-17T00:00:00"/>
    <n v="3"/>
    <x v="0"/>
    <s v="Hyderabad"/>
    <s v="Mid"/>
    <s v="Senior"/>
    <n v="2015"/>
    <s v="Stable"/>
  </r>
  <r>
    <s v="E374"/>
    <s v="Kavya"/>
    <s v="Male"/>
    <n v="43"/>
    <x v="2"/>
    <s v="HR Associate"/>
    <n v="58395"/>
    <n v="7"/>
    <d v="2018-11-17T00:00:00"/>
    <n v="4"/>
    <x v="0"/>
    <s v="Pune"/>
    <s v="Senior"/>
    <s v="Mid"/>
    <n v="2018"/>
    <s v="Stable"/>
  </r>
  <r>
    <s v="E375"/>
    <s v="Nikhil"/>
    <s v="Male"/>
    <n v="37"/>
    <x v="0"/>
    <s v="Data Analyst"/>
    <n v="80209"/>
    <n v="15"/>
    <d v="2015-11-03T00:00:00"/>
    <n v="4"/>
    <x v="0"/>
    <s v="Mumbai"/>
    <s v="Mid"/>
    <s v="Senior"/>
    <n v="2015"/>
    <s v="Stable"/>
  </r>
  <r>
    <s v="E376"/>
    <s v="Ayesha"/>
    <s v="Male"/>
    <n v="42"/>
    <x v="1"/>
    <s v="Accountant"/>
    <n v="73607"/>
    <n v="12"/>
    <d v="2024-02-29T00:00:00"/>
    <n v="2"/>
    <x v="1"/>
    <s v="Chennai"/>
    <s v="Senior"/>
    <s v="Senior"/>
    <n v="2024"/>
    <s v="Stable"/>
  </r>
  <r>
    <s v="E377"/>
    <s v="Imran"/>
    <s v="Female"/>
    <n v="32"/>
    <x v="3"/>
    <s v="Sales Executive"/>
    <n v="50648"/>
    <n v="3"/>
    <d v="2023-05-11T00:00:00"/>
    <n v="1"/>
    <x v="1"/>
    <s v="Chennai"/>
    <s v="Mid"/>
    <s v="Mid"/>
    <n v="2023"/>
    <s v="Stable"/>
  </r>
  <r>
    <s v="E378"/>
    <s v="Amit"/>
    <s v="Male"/>
    <n v="41"/>
    <x v="0"/>
    <s v="QA Analyst"/>
    <n v="70828"/>
    <n v="9"/>
    <d v="2021-04-22T00:00:00"/>
    <n v="2"/>
    <x v="0"/>
    <s v="Mumbai"/>
    <s v="Senior"/>
    <s v="Senior"/>
    <n v="2021"/>
    <s v="High Risk"/>
  </r>
  <r>
    <s v="E379"/>
    <s v="Imran"/>
    <s v="Male"/>
    <n v="32"/>
    <x v="1"/>
    <s v="Accountant"/>
    <n v="76241"/>
    <n v="11"/>
    <d v="2022-05-15T00:00:00"/>
    <n v="3"/>
    <x v="0"/>
    <s v="Hyderabad"/>
    <s v="Mid"/>
    <s v="Senior"/>
    <n v="2022"/>
    <s v="Stable"/>
  </r>
  <r>
    <s v="E380"/>
    <s v="Rohan"/>
    <s v="Male"/>
    <n v="33"/>
    <x v="0"/>
    <s v="BI Developer"/>
    <n v="71473"/>
    <n v="9"/>
    <d v="2020-11-08T00:00:00"/>
    <n v="3"/>
    <x v="0"/>
    <s v="Hyderabad"/>
    <s v="Mid"/>
    <s v="Senior"/>
    <n v="2020"/>
    <s v="Stable"/>
  </r>
  <r>
    <s v="E381"/>
    <s v="Kavya"/>
    <s v="Male"/>
    <n v="25"/>
    <x v="2"/>
    <s v="HR Manager"/>
    <n v="53008"/>
    <n v="4"/>
    <d v="2017-03-13T00:00:00"/>
    <n v="2"/>
    <x v="1"/>
    <s v="Chennai"/>
    <s v="Young"/>
    <s v="Mid"/>
    <n v="2017"/>
    <s v="Stable"/>
  </r>
  <r>
    <s v="E382"/>
    <s v="Rohan"/>
    <s v="Male"/>
    <n v="25"/>
    <x v="2"/>
    <s v="HR Manager"/>
    <n v="43761"/>
    <n v="4"/>
    <d v="2025-05-23T00:00:00"/>
    <n v="5"/>
    <x v="0"/>
    <s v="Chennai"/>
    <s v="Young"/>
    <s v="Mid"/>
    <n v="2025"/>
    <s v="Stable"/>
  </r>
  <r>
    <s v="E383"/>
    <s v="Rahul"/>
    <s v="Female"/>
    <n v="38"/>
    <x v="3"/>
    <s v="Inside Sales"/>
    <n v="46564"/>
    <n v="1"/>
    <d v="2025-06-28T00:00:00"/>
    <n v="4"/>
    <x v="0"/>
    <s v="Chennai"/>
    <s v="Mid"/>
    <s v="Junior"/>
    <n v="2025"/>
    <s v="Stable"/>
  </r>
  <r>
    <s v="E384"/>
    <s v="Sneha"/>
    <s v="Male"/>
    <n v="34"/>
    <x v="2"/>
    <s v="Talent Acquisition"/>
    <n v="66259"/>
    <n v="10"/>
    <d v="2024-11-19T00:00:00"/>
    <n v="4"/>
    <x v="0"/>
    <s v="Pune"/>
    <s v="Mid"/>
    <s v="Senior"/>
    <n v="2024"/>
    <s v="Stable"/>
  </r>
  <r>
    <s v="E385"/>
    <s v="Rohan"/>
    <s v="Female"/>
    <n v="31"/>
    <x v="2"/>
    <s v="HR Associate"/>
    <n v="60185"/>
    <n v="10"/>
    <d v="2016-07-19T00:00:00"/>
    <n v="4"/>
    <x v="0"/>
    <s v="Delhi"/>
    <s v="Mid"/>
    <s v="Senior"/>
    <n v="2016"/>
    <s v="Stable"/>
  </r>
  <r>
    <s v="E386"/>
    <s v="Vikram"/>
    <s v="Male"/>
    <n v="28"/>
    <x v="1"/>
    <s v="Auditor"/>
    <n v="65749"/>
    <n v="7"/>
    <d v="2018-11-15T00:00:00"/>
    <n v="2"/>
    <x v="0"/>
    <s v="Bangalore"/>
    <s v="Young"/>
    <s v="Mid"/>
    <n v="2018"/>
    <s v="High Risk"/>
  </r>
  <r>
    <s v="E387"/>
    <s v="Ayesha"/>
    <s v="Female"/>
    <n v="37"/>
    <x v="1"/>
    <s v="Accountant"/>
    <n v="80546"/>
    <n v="13"/>
    <d v="2023-05-22T00:00:00"/>
    <n v="5"/>
    <x v="0"/>
    <s v="Chennai"/>
    <s v="Mid"/>
    <s v="Senior"/>
    <n v="2023"/>
    <s v="Stable"/>
  </r>
  <r>
    <s v="E388"/>
    <s v="Rahul"/>
    <s v="Male"/>
    <n v="34"/>
    <x v="0"/>
    <s v="QA Analyst"/>
    <n v="50869"/>
    <n v="4"/>
    <d v="2022-07-08T00:00:00"/>
    <n v="1"/>
    <x v="1"/>
    <s v="Bangalore"/>
    <s v="Mid"/>
    <s v="Mid"/>
    <n v="2022"/>
    <s v="Stable"/>
  </r>
  <r>
    <s v="E389"/>
    <s v="Priya"/>
    <s v="Male"/>
    <n v="44"/>
    <x v="1"/>
    <s v="Auditor"/>
    <n v="62842"/>
    <n v="9"/>
    <d v="2023-06-14T00:00:00"/>
    <n v="5"/>
    <x v="1"/>
    <s v="Chennai"/>
    <s v="Senior"/>
    <s v="Senior"/>
    <n v="2023"/>
    <s v="Stable"/>
  </r>
  <r>
    <s v="E390"/>
    <s v="Ayesha"/>
    <s v="Male"/>
    <n v="34"/>
    <x v="0"/>
    <s v="QA Analyst"/>
    <n v="65870"/>
    <n v="7"/>
    <d v="2023-10-18T00:00:00"/>
    <n v="3"/>
    <x v="0"/>
    <s v="Hyderabad"/>
    <s v="Mid"/>
    <s v="Mid"/>
    <n v="2023"/>
    <s v="Stable"/>
  </r>
  <r>
    <s v="E391"/>
    <s v="Rohan"/>
    <s v="Female"/>
    <n v="39"/>
    <x v="3"/>
    <s v="Account Manager"/>
    <n v="37712"/>
    <n v="1"/>
    <d v="2023-05-05T00:00:00"/>
    <n v="3"/>
    <x v="0"/>
    <s v="Chennai"/>
    <s v="Mid"/>
    <s v="Junior"/>
    <n v="2023"/>
    <s v="Stable"/>
  </r>
  <r>
    <s v="E392"/>
    <s v="Vikram"/>
    <s v="Male"/>
    <n v="31"/>
    <x v="2"/>
    <s v="HR Associate"/>
    <n v="60906"/>
    <n v="10"/>
    <d v="2022-08-28T00:00:00"/>
    <n v="1"/>
    <x v="1"/>
    <s v="Bangalore"/>
    <s v="Mid"/>
    <s v="Senior"/>
    <n v="2022"/>
    <s v="Stable"/>
  </r>
  <r>
    <s v="E393"/>
    <s v="Kavya"/>
    <s v="Male"/>
    <n v="30"/>
    <x v="0"/>
    <s v="Python Developer"/>
    <n v="62131"/>
    <n v="8"/>
    <d v="2016-10-21T00:00:00"/>
    <n v="5"/>
    <x v="0"/>
    <s v="Hyderabad"/>
    <s v="Mid"/>
    <s v="Senior"/>
    <n v="2016"/>
    <s v="Stable"/>
  </r>
  <r>
    <s v="E394"/>
    <s v="Priya"/>
    <s v="Male"/>
    <n v="26"/>
    <x v="1"/>
    <s v="Senior Accountant"/>
    <n v="59279"/>
    <n v="5"/>
    <d v="2015-07-28T00:00:00"/>
    <n v="5"/>
    <x v="0"/>
    <s v="Mumbai"/>
    <s v="Young"/>
    <s v="Mid"/>
    <n v="2015"/>
    <s v="Stable"/>
  </r>
  <r>
    <s v="E395"/>
    <s v="Rohan"/>
    <s v="Male"/>
    <n v="38"/>
    <x v="3"/>
    <s v="Regional Manager"/>
    <n v="55512"/>
    <n v="7"/>
    <d v="2020-11-02T00:00:00"/>
    <n v="1"/>
    <x v="0"/>
    <s v="Pune"/>
    <s v="Mid"/>
    <s v="Mid"/>
    <n v="2020"/>
    <s v="High Risk"/>
  </r>
  <r>
    <s v="E396"/>
    <s v="Divya"/>
    <s v="Female"/>
    <n v="28"/>
    <x v="3"/>
    <s v="Sales Executive"/>
    <n v="57924"/>
    <n v="7"/>
    <d v="2019-01-17T00:00:00"/>
    <n v="3"/>
    <x v="0"/>
    <s v="Pune"/>
    <s v="Young"/>
    <s v="Mid"/>
    <n v="2019"/>
    <s v="Stable"/>
  </r>
  <r>
    <s v="E397"/>
    <s v="Anjali"/>
    <s v="Male"/>
    <n v="36"/>
    <x v="3"/>
    <s v="Sales Executive"/>
    <n v="63022"/>
    <n v="7"/>
    <d v="2021-11-18T00:00:00"/>
    <n v="5"/>
    <x v="0"/>
    <s v="Hyderabad"/>
    <s v="Mid"/>
    <s v="Mid"/>
    <n v="2021"/>
    <s v="Stable"/>
  </r>
  <r>
    <s v="E398"/>
    <s v="Sameer"/>
    <s v="Male"/>
    <n v="30"/>
    <x v="1"/>
    <s v="Senior Accountant"/>
    <n v="59904"/>
    <n v="9"/>
    <d v="2025-03-21T00:00:00"/>
    <n v="5"/>
    <x v="0"/>
    <s v="Mumbai"/>
    <s v="Mid"/>
    <s v="Senior"/>
    <n v="2025"/>
    <s v="Stable"/>
  </r>
  <r>
    <s v="E399"/>
    <s v="Meena"/>
    <s v="Male"/>
    <n v="42"/>
    <x v="3"/>
    <s v="Account Manager"/>
    <n v="55248"/>
    <n v="6"/>
    <d v="2020-10-05T00:00:00"/>
    <n v="1"/>
    <x v="0"/>
    <s v="Pune"/>
    <s v="Senior"/>
    <s v="Mid"/>
    <n v="2020"/>
    <s v="High Risk"/>
  </r>
  <r>
    <s v="E400"/>
    <s v="Vikram"/>
    <s v="Male"/>
    <n v="43"/>
    <x v="0"/>
    <s v="Data Analyst"/>
    <n v="74202"/>
    <n v="13"/>
    <d v="2017-04-22T00:00:00"/>
    <n v="5"/>
    <x v="0"/>
    <s v="Delhi"/>
    <s v="Senior"/>
    <s v="Senior"/>
    <n v="2017"/>
    <s v="Stable"/>
  </r>
  <r>
    <s v="E401"/>
    <s v="Rahul"/>
    <s v="Male"/>
    <n v="36"/>
    <x v="3"/>
    <s v="Sales Executive"/>
    <n v="60620"/>
    <n v="10"/>
    <d v="2015-12-25T00:00:00"/>
    <n v="1"/>
    <x v="1"/>
    <s v="Mumbai"/>
    <s v="Mid"/>
    <s v="Senior"/>
    <n v="2015"/>
    <s v="Stable"/>
  </r>
  <r>
    <s v="E402"/>
    <s v="Karan"/>
    <s v="Male"/>
    <n v="35"/>
    <x v="0"/>
    <s v="QA Analyst"/>
    <n v="77391"/>
    <n v="12"/>
    <d v="2022-01-25T00:00:00"/>
    <n v="4"/>
    <x v="0"/>
    <s v="Hyderabad"/>
    <s v="Mid"/>
    <s v="Senior"/>
    <n v="2022"/>
    <s v="Stable"/>
  </r>
  <r>
    <s v="E403"/>
    <s v="Sana"/>
    <s v="Male"/>
    <n v="24"/>
    <x v="3"/>
    <s v="Sales Executive"/>
    <n v="48983"/>
    <n v="1"/>
    <d v="2024-07-06T00:00:00"/>
    <n v="1"/>
    <x v="1"/>
    <s v="Pune"/>
    <s v="Young"/>
    <s v="Junior"/>
    <n v="2024"/>
    <s v="Stable"/>
  </r>
  <r>
    <s v="E404"/>
    <s v="Sana"/>
    <s v="Female"/>
    <n v="24"/>
    <x v="0"/>
    <s v="Support Engineer"/>
    <n v="60038"/>
    <n v="3"/>
    <d v="2025-05-23T00:00:00"/>
    <n v="4"/>
    <x v="0"/>
    <s v="Delhi"/>
    <s v="Young"/>
    <s v="Mid"/>
    <n v="2025"/>
    <s v="Stable"/>
  </r>
  <r>
    <s v="E405"/>
    <s v="Ayesha"/>
    <s v="Male"/>
    <n v="29"/>
    <x v="0"/>
    <s v="Python Developer"/>
    <n v="62234"/>
    <n v="4"/>
    <d v="2019-05-21T00:00:00"/>
    <n v="5"/>
    <x v="0"/>
    <s v="Delhi"/>
    <s v="Young"/>
    <s v="Mid"/>
    <n v="2019"/>
    <s v="Stable"/>
  </r>
  <r>
    <s v="E406"/>
    <s v="Rahul"/>
    <s v="Female"/>
    <n v="39"/>
    <x v="2"/>
    <s v="HR Associate"/>
    <n v="45019"/>
    <n v="4"/>
    <d v="2015-06-21T00:00:00"/>
    <n v="1"/>
    <x v="0"/>
    <s v="Pune"/>
    <s v="Mid"/>
    <s v="Mid"/>
    <n v="2015"/>
    <s v="High Risk"/>
  </r>
  <r>
    <s v="E407"/>
    <s v="Anjali"/>
    <s v="Male"/>
    <n v="28"/>
    <x v="0"/>
    <s v="Support Engineer"/>
    <n v="68082"/>
    <n v="7"/>
    <d v="2024-07-19T00:00:00"/>
    <n v="5"/>
    <x v="0"/>
    <s v="Bangalore"/>
    <s v="Young"/>
    <s v="Mid"/>
    <n v="2024"/>
    <s v="Stable"/>
  </r>
  <r>
    <s v="E408"/>
    <s v="Sneha"/>
    <s v="Male"/>
    <n v="27"/>
    <x v="2"/>
    <s v="HR Associate"/>
    <n v="47805"/>
    <n v="1"/>
    <d v="2025-06-15T00:00:00"/>
    <n v="5"/>
    <x v="0"/>
    <s v="Pune"/>
    <s v="Young"/>
    <s v="Junior"/>
    <n v="2025"/>
    <s v="Stable"/>
  </r>
  <r>
    <s v="E409"/>
    <s v="Karan"/>
    <s v="Male"/>
    <n v="25"/>
    <x v="0"/>
    <s v="Support Engineer"/>
    <n v="61888"/>
    <n v="4"/>
    <d v="2021-07-06T00:00:00"/>
    <n v="4"/>
    <x v="0"/>
    <s v="Mumbai"/>
    <s v="Young"/>
    <s v="Mid"/>
    <n v="2021"/>
    <s v="Stable"/>
  </r>
  <r>
    <s v="E410"/>
    <s v="Meena"/>
    <s v="Male"/>
    <n v="41"/>
    <x v="2"/>
    <s v="Talent Acquisition"/>
    <n v="41170"/>
    <n v="2"/>
    <d v="2018-07-25T00:00:00"/>
    <n v="4"/>
    <x v="0"/>
    <s v="Pune"/>
    <s v="Senior"/>
    <s v="Junior"/>
    <n v="2018"/>
    <s v="Stable"/>
  </r>
  <r>
    <s v="E411"/>
    <s v="Rohan"/>
    <s v="Female"/>
    <n v="35"/>
    <x v="1"/>
    <s v="Financial Analyst"/>
    <n v="49579"/>
    <n v="5"/>
    <d v="2018-07-06T00:00:00"/>
    <n v="2"/>
    <x v="0"/>
    <s v="Delhi"/>
    <s v="Mid"/>
    <s v="Mid"/>
    <n v="2018"/>
    <s v="High Risk"/>
  </r>
  <r>
    <s v="E412"/>
    <s v="Arjun"/>
    <s v="Female"/>
    <n v="43"/>
    <x v="3"/>
    <s v="Regional Manager"/>
    <n v="67863"/>
    <n v="10"/>
    <d v="2020-03-10T00:00:00"/>
    <n v="4"/>
    <x v="0"/>
    <s v="Mumbai"/>
    <s v="Senior"/>
    <s v="Senior"/>
    <n v="2020"/>
    <s v="Stable"/>
  </r>
  <r>
    <s v="E413"/>
    <s v="Sana"/>
    <s v="Male"/>
    <n v="24"/>
    <x v="3"/>
    <s v="Sales Executive"/>
    <n v="44793"/>
    <n v="3"/>
    <d v="2024-12-29T00:00:00"/>
    <n v="5"/>
    <x v="0"/>
    <s v="Delhi"/>
    <s v="Young"/>
    <s v="Mid"/>
    <n v="2024"/>
    <s v="Stable"/>
  </r>
  <r>
    <s v="E414"/>
    <s v="Nikhil"/>
    <s v="Male"/>
    <n v="42"/>
    <x v="0"/>
    <s v="Data Analyst"/>
    <n v="49533"/>
    <n v="0"/>
    <d v="2021-06-29T00:00:00"/>
    <n v="4"/>
    <x v="0"/>
    <s v="Bangalore"/>
    <s v="Senior"/>
    <s v="Junior"/>
    <n v="2021"/>
    <s v="Stable"/>
  </r>
  <r>
    <s v="E415"/>
    <s v="Ayesha"/>
    <s v="Female"/>
    <n v="39"/>
    <x v="0"/>
    <s v="QA Analyst"/>
    <n v="88213"/>
    <n v="15"/>
    <d v="2023-09-11T00:00:00"/>
    <n v="2"/>
    <x v="1"/>
    <s v="Bangalore"/>
    <s v="Mid"/>
    <s v="Senior"/>
    <n v="2023"/>
    <s v="Stable"/>
  </r>
  <r>
    <s v="E416"/>
    <s v="Nikhil"/>
    <s v="Female"/>
    <n v="38"/>
    <x v="1"/>
    <s v="Financial Analyst"/>
    <n v="48500"/>
    <n v="2"/>
    <d v="2019-01-30T00:00:00"/>
    <n v="5"/>
    <x v="1"/>
    <s v="Bangalore"/>
    <s v="Mid"/>
    <s v="Junior"/>
    <n v="2019"/>
    <s v="Stable"/>
  </r>
  <r>
    <s v="E417"/>
    <s v="Neha"/>
    <s v="Female"/>
    <n v="27"/>
    <x v="2"/>
    <s v="Talent Acquisition"/>
    <n v="55057"/>
    <n v="4"/>
    <d v="2023-03-18T00:00:00"/>
    <n v="4"/>
    <x v="0"/>
    <s v="Hyderabad"/>
    <s v="Young"/>
    <s v="Mid"/>
    <n v="2023"/>
    <s v="Stable"/>
  </r>
  <r>
    <s v="E418"/>
    <s v="Amit"/>
    <s v="Male"/>
    <n v="30"/>
    <x v="2"/>
    <s v="HR Manager"/>
    <n v="59334"/>
    <n v="9"/>
    <d v="2015-06-25T00:00:00"/>
    <n v="2"/>
    <x v="0"/>
    <s v="Chennai"/>
    <s v="Mid"/>
    <s v="Senior"/>
    <n v="2015"/>
    <s v="High Risk"/>
  </r>
  <r>
    <s v="E419"/>
    <s v="Priya"/>
    <s v="Male"/>
    <n v="42"/>
    <x v="3"/>
    <s v="Account Manager"/>
    <n v="61691"/>
    <n v="10"/>
    <d v="2022-11-22T00:00:00"/>
    <n v="5"/>
    <x v="0"/>
    <s v="Mumbai"/>
    <s v="Senior"/>
    <s v="Senior"/>
    <n v="2022"/>
    <s v="Stable"/>
  </r>
  <r>
    <s v="E420"/>
    <s v="Sameer"/>
    <s v="Female"/>
    <n v="33"/>
    <x v="1"/>
    <s v="Financial Analyst"/>
    <n v="50465"/>
    <n v="2"/>
    <d v="2017-10-27T00:00:00"/>
    <n v="4"/>
    <x v="0"/>
    <s v="Bangalore"/>
    <s v="Mid"/>
    <s v="Junior"/>
    <n v="2017"/>
    <s v="Stable"/>
  </r>
  <r>
    <s v="E421"/>
    <s v="Pooja"/>
    <s v="Female"/>
    <n v="37"/>
    <x v="3"/>
    <s v="Regional Manager"/>
    <n v="43222"/>
    <n v="0"/>
    <d v="2024-11-21T00:00:00"/>
    <n v="2"/>
    <x v="1"/>
    <s v="Bangalore"/>
    <s v="Mid"/>
    <s v="Junior"/>
    <n v="2024"/>
    <s v="Stable"/>
  </r>
  <r>
    <s v="E422"/>
    <s v="Vikram"/>
    <s v="Female"/>
    <n v="26"/>
    <x v="0"/>
    <s v="QA Analyst"/>
    <n v="55078"/>
    <n v="5"/>
    <d v="2019-01-23T00:00:00"/>
    <n v="5"/>
    <x v="0"/>
    <s v="Hyderabad"/>
    <s v="Young"/>
    <s v="Mid"/>
    <n v="2019"/>
    <s v="Stable"/>
  </r>
  <r>
    <s v="E423"/>
    <s v="Sneha"/>
    <s v="Female"/>
    <n v="37"/>
    <x v="2"/>
    <s v="HR Manager"/>
    <n v="78348"/>
    <n v="15"/>
    <d v="2017-05-13T00:00:00"/>
    <n v="5"/>
    <x v="0"/>
    <s v="Chennai"/>
    <s v="Mid"/>
    <s v="Senior"/>
    <n v="2017"/>
    <s v="Stable"/>
  </r>
  <r>
    <s v="E424"/>
    <s v="Arjun"/>
    <s v="Male"/>
    <n v="40"/>
    <x v="0"/>
    <s v="BI Developer"/>
    <n v="54707"/>
    <n v="5"/>
    <d v="2022-01-22T00:00:00"/>
    <n v="5"/>
    <x v="1"/>
    <s v="Pune"/>
    <s v="Mid"/>
    <s v="Mid"/>
    <n v="2022"/>
    <s v="Stable"/>
  </r>
  <r>
    <s v="E425"/>
    <s v="Karan"/>
    <s v="Male"/>
    <n v="27"/>
    <x v="2"/>
    <s v="HR Executive"/>
    <n v="57819"/>
    <n v="6"/>
    <d v="2025-11-14T00:00:00"/>
    <n v="5"/>
    <x v="0"/>
    <s v="Delhi"/>
    <s v="Young"/>
    <s v="Mid"/>
    <n v="2025"/>
    <s v="Stable"/>
  </r>
  <r>
    <s v="E426"/>
    <s v="Imran"/>
    <s v="Male"/>
    <n v="41"/>
    <x v="1"/>
    <s v="Accountant"/>
    <n v="82391"/>
    <n v="15"/>
    <d v="2016-11-29T00:00:00"/>
    <n v="2"/>
    <x v="0"/>
    <s v="Pune"/>
    <s v="Senior"/>
    <s v="Senior"/>
    <n v="2016"/>
    <s v="High Risk"/>
  </r>
  <r>
    <s v="E427"/>
    <s v="Rohan"/>
    <s v="Male"/>
    <n v="36"/>
    <x v="2"/>
    <s v="HR Associate"/>
    <n v="41765"/>
    <n v="2"/>
    <d v="2019-03-30T00:00:00"/>
    <n v="4"/>
    <x v="0"/>
    <s v="Hyderabad"/>
    <s v="Mid"/>
    <s v="Junior"/>
    <n v="2019"/>
    <s v="Stable"/>
  </r>
  <r>
    <s v="E428"/>
    <s v="Sana"/>
    <s v="Male"/>
    <n v="25"/>
    <x v="2"/>
    <s v="HR Manager"/>
    <n v="50796"/>
    <n v="4"/>
    <d v="2025-02-09T00:00:00"/>
    <n v="5"/>
    <x v="0"/>
    <s v="Pune"/>
    <s v="Young"/>
    <s v="Mid"/>
    <n v="2025"/>
    <s v="Stable"/>
  </r>
  <r>
    <s v="E429"/>
    <s v="Arjun"/>
    <s v="Female"/>
    <n v="41"/>
    <x v="0"/>
    <s v="Data Analyst"/>
    <n v="52695"/>
    <n v="0"/>
    <d v="2022-08-11T00:00:00"/>
    <n v="4"/>
    <x v="0"/>
    <s v="Mumbai"/>
    <s v="Senior"/>
    <s v="Junior"/>
    <n v="2022"/>
    <s v="Stable"/>
  </r>
  <r>
    <s v="E430"/>
    <s v="Divya"/>
    <s v="Female"/>
    <n v="37"/>
    <x v="0"/>
    <s v="QA Analyst"/>
    <n v="75742"/>
    <n v="12"/>
    <d v="2021-08-09T00:00:00"/>
    <n v="5"/>
    <x v="0"/>
    <s v="Bangalore"/>
    <s v="Mid"/>
    <s v="Senior"/>
    <n v="2021"/>
    <s v="Stable"/>
  </r>
  <r>
    <s v="E431"/>
    <s v="Amit"/>
    <s v="Male"/>
    <n v="31"/>
    <x v="1"/>
    <s v="Senior Accountant"/>
    <n v="66223"/>
    <n v="10"/>
    <d v="2017-02-13T00:00:00"/>
    <n v="1"/>
    <x v="0"/>
    <s v="Pune"/>
    <s v="Mid"/>
    <s v="Senior"/>
    <n v="2017"/>
    <s v="High Risk"/>
  </r>
  <r>
    <s v="E432"/>
    <s v="Sameer"/>
    <s v="Male"/>
    <n v="42"/>
    <x v="0"/>
    <s v="QA Analyst"/>
    <n v="66268"/>
    <n v="6"/>
    <d v="2024-01-08T00:00:00"/>
    <n v="3"/>
    <x v="0"/>
    <s v="Hyderabad"/>
    <s v="Senior"/>
    <s v="Mid"/>
    <n v="2024"/>
    <s v="Stable"/>
  </r>
  <r>
    <s v="E433"/>
    <s v="Karan"/>
    <s v="Female"/>
    <n v="39"/>
    <x v="2"/>
    <s v="HR Manager"/>
    <n v="74751"/>
    <n v="13"/>
    <d v="2019-02-06T00:00:00"/>
    <n v="5"/>
    <x v="0"/>
    <s v="Delhi"/>
    <s v="Mid"/>
    <s v="Senior"/>
    <n v="2019"/>
    <s v="Stable"/>
  </r>
  <r>
    <s v="E434"/>
    <s v="Ayesha"/>
    <s v="Female"/>
    <n v="39"/>
    <x v="3"/>
    <s v="Inside Sales"/>
    <n v="75428"/>
    <n v="15"/>
    <d v="2019-02-25T00:00:00"/>
    <n v="5"/>
    <x v="0"/>
    <s v="Mumbai"/>
    <s v="Mid"/>
    <s v="Senior"/>
    <n v="2019"/>
    <s v="Stable"/>
  </r>
  <r>
    <s v="E435"/>
    <s v="Arjun"/>
    <s v="Female"/>
    <n v="43"/>
    <x v="1"/>
    <s v="Auditor"/>
    <n v="56752"/>
    <n v="3"/>
    <d v="2017-07-30T00:00:00"/>
    <n v="4"/>
    <x v="0"/>
    <s v="Bangalore"/>
    <s v="Senior"/>
    <s v="Mid"/>
    <n v="2017"/>
    <s v="Stable"/>
  </r>
  <r>
    <s v="E436"/>
    <s v="Rohan"/>
    <s v="Female"/>
    <n v="39"/>
    <x v="0"/>
    <s v="BI Developer"/>
    <n v="45133"/>
    <n v="1"/>
    <d v="2019-05-13T00:00:00"/>
    <n v="1"/>
    <x v="0"/>
    <s v="Chennai"/>
    <s v="Mid"/>
    <s v="Junior"/>
    <n v="2019"/>
    <s v="High Risk"/>
  </r>
  <r>
    <s v="E437"/>
    <s v="Karan"/>
    <s v="Male"/>
    <n v="29"/>
    <x v="3"/>
    <s v="Sales Executive"/>
    <n v="56311"/>
    <n v="8"/>
    <d v="2021-10-30T00:00:00"/>
    <n v="1"/>
    <x v="0"/>
    <s v="Chennai"/>
    <s v="Young"/>
    <s v="Senior"/>
    <n v="2021"/>
    <s v="High Risk"/>
  </r>
  <r>
    <s v="E438"/>
    <s v="Pooja"/>
    <s v="Male"/>
    <n v="36"/>
    <x v="1"/>
    <s v="Accountant"/>
    <n v="40304"/>
    <n v="0"/>
    <d v="2024-07-15T00:00:00"/>
    <n v="5"/>
    <x v="0"/>
    <s v="Hyderabad"/>
    <s v="Mid"/>
    <s v="Junior"/>
    <n v="2024"/>
    <s v="Stable"/>
  </r>
  <r>
    <s v="E439"/>
    <s v="Anjali"/>
    <s v="Male"/>
    <n v="29"/>
    <x v="2"/>
    <s v="Talent Acquisition"/>
    <n v="35579"/>
    <n v="0"/>
    <d v="2015-12-22T00:00:00"/>
    <n v="3"/>
    <x v="0"/>
    <s v="Mumbai"/>
    <s v="Young"/>
    <s v="Junior"/>
    <n v="2015"/>
    <s v="Stable"/>
  </r>
  <r>
    <s v="E440"/>
    <s v="Nikhil"/>
    <s v="Male"/>
    <n v="22"/>
    <x v="3"/>
    <s v="Account Manager"/>
    <n v="38977"/>
    <n v="1"/>
    <d v="2021-03-01T00:00:00"/>
    <n v="3"/>
    <x v="0"/>
    <s v="Pune"/>
    <s v="Young"/>
    <s v="Junior"/>
    <n v="2021"/>
    <s v="Stable"/>
  </r>
  <r>
    <s v="E441"/>
    <s v="Divya"/>
    <s v="Female"/>
    <n v="41"/>
    <x v="1"/>
    <s v="Auditor"/>
    <n v="59450"/>
    <n v="6"/>
    <d v="2025-06-05T00:00:00"/>
    <n v="4"/>
    <x v="0"/>
    <s v="Mumbai"/>
    <s v="Senior"/>
    <s v="Mid"/>
    <n v="2025"/>
    <s v="Stable"/>
  </r>
  <r>
    <s v="E442"/>
    <s v="Ayesha"/>
    <s v="Male"/>
    <n v="24"/>
    <x v="2"/>
    <s v="HR Manager"/>
    <n v="46070"/>
    <n v="3"/>
    <d v="2025-08-14T00:00:00"/>
    <n v="1"/>
    <x v="0"/>
    <s v="Pune"/>
    <s v="Young"/>
    <s v="Mid"/>
    <n v="2025"/>
    <s v="High Risk"/>
  </r>
  <r>
    <s v="E443"/>
    <s v="Tarun"/>
    <s v="Female"/>
    <n v="37"/>
    <x v="1"/>
    <s v="Senior Accountant"/>
    <n v="66910"/>
    <n v="7"/>
    <d v="2018-10-23T00:00:00"/>
    <n v="4"/>
    <x v="0"/>
    <s v="Pune"/>
    <s v="Mid"/>
    <s v="Mid"/>
    <n v="2018"/>
    <s v="Stable"/>
  </r>
  <r>
    <s v="E444"/>
    <s v="Karan"/>
    <s v="Male"/>
    <n v="24"/>
    <x v="0"/>
    <s v="Python Developer"/>
    <n v="57881"/>
    <n v="3"/>
    <d v="2023-11-05T00:00:00"/>
    <n v="2"/>
    <x v="0"/>
    <s v="Mumbai"/>
    <s v="Young"/>
    <s v="Mid"/>
    <n v="2023"/>
    <s v="High Risk"/>
  </r>
  <r>
    <s v="E445"/>
    <s v="Karan"/>
    <s v="Male"/>
    <n v="29"/>
    <x v="3"/>
    <s v="Regional Manager"/>
    <n v="56523"/>
    <n v="8"/>
    <d v="2019-06-23T00:00:00"/>
    <n v="3"/>
    <x v="1"/>
    <s v="Bangalore"/>
    <s v="Young"/>
    <s v="Senior"/>
    <n v="2019"/>
    <s v="Stable"/>
  </r>
  <r>
    <s v="E446"/>
    <s v="Vikram"/>
    <s v="Female"/>
    <n v="40"/>
    <x v="3"/>
    <s v="Regional Manager"/>
    <n v="57994"/>
    <n v="8"/>
    <d v="2025-08-15T00:00:00"/>
    <n v="2"/>
    <x v="0"/>
    <s v="Delhi"/>
    <s v="Mid"/>
    <s v="Senior"/>
    <n v="2025"/>
    <s v="High Risk"/>
  </r>
  <r>
    <s v="E447"/>
    <s v="Divya"/>
    <s v="Male"/>
    <n v="28"/>
    <x v="2"/>
    <s v="HR Associate"/>
    <n v="60635"/>
    <n v="7"/>
    <d v="2018-12-29T00:00:00"/>
    <n v="2"/>
    <x v="0"/>
    <s v="Hyderabad"/>
    <s v="Young"/>
    <s v="Mid"/>
    <n v="2018"/>
    <s v="High Risk"/>
  </r>
  <r>
    <s v="E448"/>
    <s v="Pooja"/>
    <s v="Male"/>
    <n v="33"/>
    <x v="3"/>
    <s v="Sales Executive"/>
    <n v="68066"/>
    <n v="10"/>
    <d v="2025-01-26T00:00:00"/>
    <n v="5"/>
    <x v="0"/>
    <s v="Chennai"/>
    <s v="Mid"/>
    <s v="Senior"/>
    <n v="2025"/>
    <s v="Stable"/>
  </r>
  <r>
    <s v="E449"/>
    <s v="Divya"/>
    <s v="Female"/>
    <n v="40"/>
    <x v="2"/>
    <s v="HR Associate"/>
    <n v="43887"/>
    <n v="4"/>
    <d v="2020-11-23T00:00:00"/>
    <n v="4"/>
    <x v="0"/>
    <s v="Pune"/>
    <s v="Mid"/>
    <s v="Mid"/>
    <n v="2020"/>
    <s v="Stable"/>
  </r>
  <r>
    <s v="E450"/>
    <s v="Sameer"/>
    <s v="Female"/>
    <n v="43"/>
    <x v="0"/>
    <s v="QA Analyst"/>
    <n v="59990"/>
    <n v="5"/>
    <d v="2025-12-13T00:00:00"/>
    <n v="1"/>
    <x v="0"/>
    <s v="Delhi"/>
    <s v="Senior"/>
    <s v="Mid"/>
    <n v="2025"/>
    <s v="High Risk"/>
  </r>
  <r>
    <s v="E451"/>
    <s v="Sameer"/>
    <s v="Male"/>
    <n v="40"/>
    <x v="0"/>
    <s v="Data Analyst"/>
    <n v="52831"/>
    <n v="3"/>
    <d v="2019-01-21T00:00:00"/>
    <n v="5"/>
    <x v="0"/>
    <s v="Bangalore"/>
    <s v="Mid"/>
    <s v="Mid"/>
    <n v="2019"/>
    <s v="Stable"/>
  </r>
  <r>
    <s v="E452"/>
    <s v="Pooja"/>
    <s v="Female"/>
    <n v="41"/>
    <x v="1"/>
    <s v="Financial Analyst"/>
    <n v="67995"/>
    <n v="10"/>
    <d v="2017-01-23T00:00:00"/>
    <n v="4"/>
    <x v="0"/>
    <s v="Chennai"/>
    <s v="Senior"/>
    <s v="Senior"/>
    <n v="2017"/>
    <s v="Stable"/>
  </r>
  <r>
    <s v="E453"/>
    <s v="Karan"/>
    <s v="Female"/>
    <n v="36"/>
    <x v="1"/>
    <s v="Auditor"/>
    <n v="58861"/>
    <n v="5"/>
    <d v="2016-06-21T00:00:00"/>
    <n v="5"/>
    <x v="0"/>
    <s v="Hyderabad"/>
    <s v="Mid"/>
    <s v="Mid"/>
    <n v="2016"/>
    <s v="Stable"/>
  </r>
  <r>
    <s v="E454"/>
    <s v="Sameer"/>
    <s v="Female"/>
    <n v="28"/>
    <x v="1"/>
    <s v="Financial Analyst"/>
    <n v="59100"/>
    <n v="4"/>
    <d v="2016-09-04T00:00:00"/>
    <n v="4"/>
    <x v="0"/>
    <s v="Bangalore"/>
    <s v="Young"/>
    <s v="Mid"/>
    <n v="2016"/>
    <s v="Stable"/>
  </r>
  <r>
    <s v="E455"/>
    <s v="Nikhil"/>
    <s v="Male"/>
    <n v="39"/>
    <x v="3"/>
    <s v="Account Manager"/>
    <n v="72866"/>
    <n v="10"/>
    <d v="2020-06-16T00:00:00"/>
    <n v="3"/>
    <x v="0"/>
    <s v="Pune"/>
    <s v="Mid"/>
    <s v="Senior"/>
    <n v="2020"/>
    <s v="Stable"/>
  </r>
  <r>
    <s v="E456"/>
    <s v="Neha"/>
    <s v="Male"/>
    <n v="23"/>
    <x v="0"/>
    <s v="Python Developer"/>
    <n v="49166"/>
    <n v="2"/>
    <d v="2020-05-05T00:00:00"/>
    <n v="1"/>
    <x v="1"/>
    <s v="Mumbai"/>
    <s v="Young"/>
    <s v="Junior"/>
    <n v="2020"/>
    <s v="Stable"/>
  </r>
  <r>
    <s v="E457"/>
    <s v="Ayesha"/>
    <s v="Female"/>
    <n v="39"/>
    <x v="1"/>
    <s v="Auditor"/>
    <n v="62638"/>
    <n v="8"/>
    <d v="2015-03-23T00:00:00"/>
    <n v="4"/>
    <x v="0"/>
    <s v="Delhi"/>
    <s v="Mid"/>
    <s v="Senior"/>
    <n v="2015"/>
    <s v="Stable"/>
  </r>
  <r>
    <s v="E458"/>
    <s v="Anjali"/>
    <s v="Female"/>
    <n v="32"/>
    <x v="2"/>
    <s v="Talent Acquisition"/>
    <n v="73193"/>
    <n v="11"/>
    <d v="2023-04-05T00:00:00"/>
    <n v="4"/>
    <x v="0"/>
    <s v="Chennai"/>
    <s v="Mid"/>
    <s v="Senior"/>
    <n v="2023"/>
    <s v="Stable"/>
  </r>
  <r>
    <s v="E459"/>
    <s v="Neha"/>
    <s v="Male"/>
    <n v="42"/>
    <x v="1"/>
    <s v="Senior Accountant"/>
    <n v="68911"/>
    <n v="10"/>
    <d v="2022-01-29T00:00:00"/>
    <n v="5"/>
    <x v="0"/>
    <s v="Hyderabad"/>
    <s v="Senior"/>
    <s v="Senior"/>
    <n v="2022"/>
    <s v="Stable"/>
  </r>
  <r>
    <s v="E460"/>
    <s v="Divya"/>
    <s v="Female"/>
    <n v="32"/>
    <x v="0"/>
    <s v="BI Developer"/>
    <n v="75698"/>
    <n v="10"/>
    <d v="2018-04-08T00:00:00"/>
    <n v="3"/>
    <x v="0"/>
    <s v="Chennai"/>
    <s v="Mid"/>
    <s v="Senior"/>
    <n v="2018"/>
    <s v="Stable"/>
  </r>
  <r>
    <s v="E461"/>
    <s v="Tarun"/>
    <s v="Female"/>
    <n v="38"/>
    <x v="1"/>
    <s v="Senior Accountant"/>
    <n v="78782"/>
    <n v="14"/>
    <d v="2016-11-16T00:00:00"/>
    <n v="2"/>
    <x v="0"/>
    <s v="Bangalore"/>
    <s v="Mid"/>
    <s v="Senior"/>
    <n v="2016"/>
    <s v="High Risk"/>
  </r>
  <r>
    <s v="E462"/>
    <s v="Neha"/>
    <s v="Male"/>
    <n v="34"/>
    <x v="1"/>
    <s v="Accountant"/>
    <n v="46065"/>
    <n v="3"/>
    <d v="2015-09-19T00:00:00"/>
    <n v="4"/>
    <x v="0"/>
    <s v="Hyderabad"/>
    <s v="Mid"/>
    <s v="Mid"/>
    <n v="2015"/>
    <s v="Stable"/>
  </r>
  <r>
    <s v="E463"/>
    <s v="Karan"/>
    <s v="Male"/>
    <n v="41"/>
    <x v="3"/>
    <s v="Sales Executive"/>
    <n v="46381"/>
    <n v="4"/>
    <d v="2022-05-06T00:00:00"/>
    <n v="4"/>
    <x v="0"/>
    <s v="Bangalore"/>
    <s v="Senior"/>
    <s v="Mid"/>
    <n v="2022"/>
    <s v="Stable"/>
  </r>
  <r>
    <s v="E464"/>
    <s v="Arjun"/>
    <s v="Male"/>
    <n v="38"/>
    <x v="1"/>
    <s v="Senior Accountant"/>
    <n v="49968"/>
    <n v="5"/>
    <d v="2015-05-24T00:00:00"/>
    <n v="3"/>
    <x v="0"/>
    <s v="Mumbai"/>
    <s v="Mid"/>
    <s v="Mid"/>
    <n v="2015"/>
    <s v="Stable"/>
  </r>
  <r>
    <s v="E465"/>
    <s v="Ayesha"/>
    <s v="Female"/>
    <n v="36"/>
    <x v="3"/>
    <s v="Account Manager"/>
    <n v="56429"/>
    <n v="4"/>
    <d v="2021-01-17T00:00:00"/>
    <n v="2"/>
    <x v="0"/>
    <s v="Delhi"/>
    <s v="Mid"/>
    <s v="Mid"/>
    <n v="2021"/>
    <s v="High Risk"/>
  </r>
  <r>
    <s v="E466"/>
    <s v="Pooja"/>
    <s v="Female"/>
    <n v="39"/>
    <x v="3"/>
    <s v="Regional Manager"/>
    <n v="53967"/>
    <n v="7"/>
    <d v="2019-12-15T00:00:00"/>
    <n v="3"/>
    <x v="0"/>
    <s v="Mumbai"/>
    <s v="Mid"/>
    <s v="Mid"/>
    <n v="2019"/>
    <s v="Stable"/>
  </r>
  <r>
    <s v="E467"/>
    <s v="Rahul"/>
    <s v="Male"/>
    <n v="38"/>
    <x v="2"/>
    <s v="HR Associate"/>
    <n v="48634"/>
    <n v="4"/>
    <d v="2018-03-20T00:00:00"/>
    <n v="4"/>
    <x v="0"/>
    <s v="Delhi"/>
    <s v="Mid"/>
    <s v="Mid"/>
    <n v="2018"/>
    <s v="Stable"/>
  </r>
  <r>
    <s v="E468"/>
    <s v="Rahul"/>
    <s v="Female"/>
    <n v="35"/>
    <x v="3"/>
    <s v="Account Manager"/>
    <n v="67281"/>
    <n v="9"/>
    <d v="2017-08-05T00:00:00"/>
    <n v="1"/>
    <x v="0"/>
    <s v="Pune"/>
    <s v="Mid"/>
    <s v="Senior"/>
    <n v="2017"/>
    <s v="High Risk"/>
  </r>
  <r>
    <s v="E469"/>
    <s v="Neha"/>
    <s v="Male"/>
    <n v="44"/>
    <x v="3"/>
    <s v="Account Manager"/>
    <n v="71199"/>
    <n v="12"/>
    <d v="2017-06-22T00:00:00"/>
    <n v="3"/>
    <x v="1"/>
    <s v="Delhi"/>
    <s v="Senior"/>
    <s v="Senior"/>
    <n v="2017"/>
    <s v="Stable"/>
  </r>
  <r>
    <s v="E470"/>
    <s v="Ayesha"/>
    <s v="Female"/>
    <n v="30"/>
    <x v="2"/>
    <s v="HR Associate"/>
    <n v="58580"/>
    <n v="9"/>
    <d v="2024-07-27T00:00:00"/>
    <n v="1"/>
    <x v="1"/>
    <s v="Mumbai"/>
    <s v="Mid"/>
    <s v="Senior"/>
    <n v="2024"/>
    <s v="Stable"/>
  </r>
  <r>
    <s v="E471"/>
    <s v="Karan"/>
    <s v="Female"/>
    <n v="44"/>
    <x v="0"/>
    <s v="Python Developer"/>
    <n v="80576"/>
    <n v="15"/>
    <d v="2018-08-06T00:00:00"/>
    <n v="1"/>
    <x v="1"/>
    <s v="Pune"/>
    <s v="Senior"/>
    <s v="Senior"/>
    <n v="2018"/>
    <s v="Stable"/>
  </r>
  <r>
    <s v="E472"/>
    <s v="Meena"/>
    <s v="Male"/>
    <n v="30"/>
    <x v="0"/>
    <s v="BI Developer"/>
    <n v="61717"/>
    <n v="4"/>
    <d v="2019-12-01T00:00:00"/>
    <n v="1"/>
    <x v="1"/>
    <s v="Bangalore"/>
    <s v="Mid"/>
    <s v="Mid"/>
    <n v="2019"/>
    <s v="Stable"/>
  </r>
  <r>
    <s v="E473"/>
    <s v="Rohan"/>
    <s v="Male"/>
    <n v="35"/>
    <x v="0"/>
    <s v="Python Developer"/>
    <n v="75373"/>
    <n v="9"/>
    <d v="2023-12-19T00:00:00"/>
    <n v="4"/>
    <x v="0"/>
    <s v="Chennai"/>
    <s v="Mid"/>
    <s v="Senior"/>
    <n v="2023"/>
    <s v="Stable"/>
  </r>
  <r>
    <s v="E474"/>
    <s v="Arjun"/>
    <s v="Male"/>
    <n v="23"/>
    <x v="0"/>
    <s v="Support Engineer"/>
    <n v="57708"/>
    <n v="2"/>
    <d v="2019-05-27T00:00:00"/>
    <n v="1"/>
    <x v="0"/>
    <s v="Mumbai"/>
    <s v="Young"/>
    <s v="Junior"/>
    <n v="2019"/>
    <s v="High Risk"/>
  </r>
  <r>
    <s v="E475"/>
    <s v="Divya"/>
    <s v="Male"/>
    <n v="34"/>
    <x v="3"/>
    <s v="Sales Executive"/>
    <n v="71549"/>
    <n v="13"/>
    <d v="2023-04-10T00:00:00"/>
    <n v="1"/>
    <x v="1"/>
    <s v="Delhi"/>
    <s v="Mid"/>
    <s v="Senior"/>
    <n v="2023"/>
    <s v="Stable"/>
  </r>
  <r>
    <s v="E476"/>
    <s v="Pooja"/>
    <s v="Male"/>
    <n v="34"/>
    <x v="0"/>
    <s v="QA Analyst"/>
    <n v="67793"/>
    <n v="9"/>
    <d v="2016-10-11T00:00:00"/>
    <n v="1"/>
    <x v="0"/>
    <s v="Hyderabad"/>
    <s v="Mid"/>
    <s v="Senior"/>
    <n v="2016"/>
    <s v="High Risk"/>
  </r>
  <r>
    <s v="E477"/>
    <s v="Vikram"/>
    <s v="Female"/>
    <n v="33"/>
    <x v="1"/>
    <s v="Senior Accountant"/>
    <n v="50423"/>
    <n v="1"/>
    <d v="2017-06-11T00:00:00"/>
    <n v="1"/>
    <x v="1"/>
    <s v="Chennai"/>
    <s v="Mid"/>
    <s v="Junior"/>
    <n v="2017"/>
    <s v="Stable"/>
  </r>
  <r>
    <s v="E478"/>
    <s v="Karan"/>
    <s v="Male"/>
    <n v="40"/>
    <x v="1"/>
    <s v="Accountant"/>
    <n v="50984"/>
    <n v="3"/>
    <d v="2023-11-07T00:00:00"/>
    <n v="2"/>
    <x v="1"/>
    <s v="Hyderabad"/>
    <s v="Mid"/>
    <s v="Mid"/>
    <n v="2023"/>
    <s v="Stable"/>
  </r>
  <r>
    <s v="E479"/>
    <s v="Amit"/>
    <s v="Female"/>
    <n v="29"/>
    <x v="3"/>
    <s v="Inside Sales"/>
    <n v="55690"/>
    <n v="5"/>
    <d v="2016-01-10T00:00:00"/>
    <n v="5"/>
    <x v="0"/>
    <s v="Delhi"/>
    <s v="Young"/>
    <s v="Mid"/>
    <n v="2016"/>
    <s v="Stable"/>
  </r>
  <r>
    <s v="E480"/>
    <s v="Arjun"/>
    <s v="Female"/>
    <n v="44"/>
    <x v="0"/>
    <s v="Data Analyst"/>
    <n v="49561"/>
    <n v="3"/>
    <d v="2020-06-21T00:00:00"/>
    <n v="2"/>
    <x v="1"/>
    <s v="Pune"/>
    <s v="Senior"/>
    <s v="Mid"/>
    <n v="2020"/>
    <s v="Stable"/>
  </r>
  <r>
    <s v="E481"/>
    <s v="Rahul"/>
    <s v="Male"/>
    <n v="44"/>
    <x v="1"/>
    <s v="Senior Accountant"/>
    <n v="72868"/>
    <n v="12"/>
    <d v="2023-02-15T00:00:00"/>
    <n v="2"/>
    <x v="1"/>
    <s v="Hyderabad"/>
    <s v="Senior"/>
    <s v="Senior"/>
    <n v="2023"/>
    <s v="Stable"/>
  </r>
  <r>
    <s v="E482"/>
    <s v="Ayesha"/>
    <s v="Female"/>
    <n v="44"/>
    <x v="3"/>
    <s v="Account Manager"/>
    <n v="75609"/>
    <n v="15"/>
    <d v="2021-05-10T00:00:00"/>
    <n v="2"/>
    <x v="0"/>
    <s v="Chennai"/>
    <s v="Senior"/>
    <s v="Senior"/>
    <n v="2021"/>
    <s v="High Risk"/>
  </r>
  <r>
    <s v="E483"/>
    <s v="Nikhil"/>
    <s v="Male"/>
    <n v="26"/>
    <x v="1"/>
    <s v="Financial Analyst"/>
    <n v="54344"/>
    <n v="5"/>
    <d v="2024-03-10T00:00:00"/>
    <n v="3"/>
    <x v="0"/>
    <s v="Chennai"/>
    <s v="Young"/>
    <s v="Mid"/>
    <n v="2024"/>
    <s v="Stable"/>
  </r>
  <r>
    <s v="E484"/>
    <s v="Neha"/>
    <s v="Female"/>
    <n v="22"/>
    <x v="0"/>
    <s v="QA Analyst"/>
    <n v="55214"/>
    <n v="1"/>
    <d v="2021-12-15T00:00:00"/>
    <n v="2"/>
    <x v="1"/>
    <s v="Hyderabad"/>
    <s v="Young"/>
    <s v="Junior"/>
    <n v="2021"/>
    <s v="Stable"/>
  </r>
  <r>
    <s v="E485"/>
    <s v="Ayesha"/>
    <s v="Female"/>
    <n v="26"/>
    <x v="3"/>
    <s v="Inside Sales"/>
    <n v="52785"/>
    <n v="5"/>
    <d v="2019-08-06T00:00:00"/>
    <n v="3"/>
    <x v="0"/>
    <s v="Pune"/>
    <s v="Young"/>
    <s v="Mid"/>
    <n v="2019"/>
    <s v="Stable"/>
  </r>
  <r>
    <s v="E486"/>
    <s v="Neha"/>
    <s v="Male"/>
    <n v="23"/>
    <x v="0"/>
    <s v="Data Analyst"/>
    <n v="46753"/>
    <n v="2"/>
    <d v="2020-06-11T00:00:00"/>
    <n v="2"/>
    <x v="1"/>
    <s v="Pune"/>
    <s v="Young"/>
    <s v="Junior"/>
    <n v="2020"/>
    <s v="Stable"/>
  </r>
  <r>
    <s v="E487"/>
    <s v="Priya"/>
    <s v="Female"/>
    <n v="33"/>
    <x v="3"/>
    <s v="Account Manager"/>
    <n v="62427"/>
    <n v="7"/>
    <d v="2023-01-19T00:00:00"/>
    <n v="1"/>
    <x v="1"/>
    <s v="Bangalore"/>
    <s v="Mid"/>
    <s v="Mid"/>
    <n v="2023"/>
    <s v="Stable"/>
  </r>
  <r>
    <s v="E488"/>
    <s v="Priya"/>
    <s v="Female"/>
    <n v="33"/>
    <x v="3"/>
    <s v="Sales Executive"/>
    <n v="71046"/>
    <n v="12"/>
    <d v="2023-11-28T00:00:00"/>
    <n v="1"/>
    <x v="0"/>
    <s v="Hyderabad"/>
    <s v="Mid"/>
    <s v="Senior"/>
    <n v="2023"/>
    <s v="High Risk"/>
  </r>
  <r>
    <s v="E489"/>
    <s v="Vikram"/>
    <s v="Male"/>
    <n v="38"/>
    <x v="0"/>
    <s v="Support Engineer"/>
    <n v="49158"/>
    <n v="3"/>
    <d v="2023-02-18T00:00:00"/>
    <n v="2"/>
    <x v="0"/>
    <s v="Pune"/>
    <s v="Mid"/>
    <s v="Mid"/>
    <n v="2023"/>
    <s v="High Risk"/>
  </r>
  <r>
    <s v="E490"/>
    <s v="Sneha"/>
    <s v="Female"/>
    <n v="42"/>
    <x v="2"/>
    <s v="Talent Acquisition"/>
    <n v="71550"/>
    <n v="11"/>
    <d v="2020-02-22T00:00:00"/>
    <n v="4"/>
    <x v="0"/>
    <s v="Bangalore"/>
    <s v="Senior"/>
    <s v="Senior"/>
    <n v="2020"/>
    <s v="Stable"/>
  </r>
  <r>
    <s v="E491"/>
    <s v="Neha"/>
    <s v="Female"/>
    <n v="39"/>
    <x v="2"/>
    <s v="HR Manager"/>
    <n v="73772"/>
    <n v="14"/>
    <d v="2025-02-13T00:00:00"/>
    <n v="3"/>
    <x v="0"/>
    <s v="Mumbai"/>
    <s v="Mid"/>
    <s v="Senior"/>
    <n v="2025"/>
    <s v="Stable"/>
  </r>
  <r>
    <s v="E492"/>
    <s v="Rohan"/>
    <s v="Female"/>
    <n v="41"/>
    <x v="1"/>
    <s v="Senior Accountant"/>
    <n v="63726"/>
    <n v="7"/>
    <d v="2021-02-12T00:00:00"/>
    <n v="2"/>
    <x v="1"/>
    <s v="Pune"/>
    <s v="Senior"/>
    <s v="Mid"/>
    <n v="2021"/>
    <s v="Stable"/>
  </r>
  <r>
    <s v="E493"/>
    <s v="Imran"/>
    <s v="Female"/>
    <n v="34"/>
    <x v="1"/>
    <s v="Auditor"/>
    <n v="48899"/>
    <n v="0"/>
    <d v="2015-05-22T00:00:00"/>
    <n v="3"/>
    <x v="0"/>
    <s v="Pune"/>
    <s v="Mid"/>
    <s v="Junior"/>
    <n v="2015"/>
    <s v="Stable"/>
  </r>
  <r>
    <s v="E494"/>
    <s v="Meena"/>
    <s v="Male"/>
    <n v="29"/>
    <x v="2"/>
    <s v="HR Associate"/>
    <n v="53159"/>
    <n v="6"/>
    <d v="2015-03-30T00:00:00"/>
    <n v="3"/>
    <x v="0"/>
    <s v="Pune"/>
    <s v="Young"/>
    <s v="Mid"/>
    <n v="2015"/>
    <s v="Stable"/>
  </r>
  <r>
    <s v="E495"/>
    <s v="Imran"/>
    <s v="Male"/>
    <n v="33"/>
    <x v="2"/>
    <s v="HR Executive"/>
    <n v="45267"/>
    <n v="4"/>
    <d v="2017-12-21T00:00:00"/>
    <n v="3"/>
    <x v="0"/>
    <s v="Bangalore"/>
    <s v="Mid"/>
    <s v="Mid"/>
    <n v="2017"/>
    <s v="Stable"/>
  </r>
  <r>
    <s v="E496"/>
    <s v="Amit"/>
    <s v="Female"/>
    <n v="40"/>
    <x v="2"/>
    <s v="HR Associate"/>
    <n v="72323"/>
    <n v="12"/>
    <d v="2025-04-17T00:00:00"/>
    <n v="2"/>
    <x v="0"/>
    <s v="Chennai"/>
    <s v="Mid"/>
    <s v="Senior"/>
    <n v="2025"/>
    <s v="High Risk"/>
  </r>
  <r>
    <s v="E497"/>
    <s v="Sana"/>
    <s v="Male"/>
    <n v="42"/>
    <x v="2"/>
    <s v="HR Manager"/>
    <n v="56112"/>
    <n v="9"/>
    <d v="2023-03-13T00:00:00"/>
    <n v="5"/>
    <x v="0"/>
    <s v="Hyderabad"/>
    <s v="Senior"/>
    <s v="Senior"/>
    <n v="2023"/>
    <s v="Stable"/>
  </r>
  <r>
    <s v="E498"/>
    <s v="Kavya"/>
    <s v="Female"/>
    <n v="25"/>
    <x v="1"/>
    <s v="Auditor"/>
    <n v="59249"/>
    <n v="4"/>
    <d v="2022-04-27T00:00:00"/>
    <n v="5"/>
    <x v="0"/>
    <s v="Delhi"/>
    <s v="Young"/>
    <s v="Mid"/>
    <n v="2022"/>
    <s v="Stable"/>
  </r>
  <r>
    <s v="E499"/>
    <s v="Nikhil"/>
    <s v="Female"/>
    <n v="23"/>
    <x v="3"/>
    <s v="Sales Executive"/>
    <n v="48846"/>
    <n v="2"/>
    <d v="2021-05-02T00:00:00"/>
    <n v="2"/>
    <x v="1"/>
    <s v="Delhi"/>
    <s v="Young"/>
    <s v="Junior"/>
    <n v="2021"/>
    <s v="Stable"/>
  </r>
  <r>
    <s v="E500"/>
    <s v="Sameer"/>
    <s v="Male"/>
    <n v="36"/>
    <x v="2"/>
    <s v="Talent Acquisition"/>
    <n v="41638"/>
    <n v="2"/>
    <d v="2019-11-05T00:00:00"/>
    <n v="3"/>
    <x v="0"/>
    <s v="Bangalore"/>
    <s v="Mid"/>
    <s v="Junior"/>
    <n v="2019"/>
    <s v="St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DBFE2-67C2-4487-89F4-ADA8119E0F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B6" firstHeaderRow="1" firstDataRow="1" firstDataCol="1"/>
  <pivotFields count="16">
    <pivotField dataField="1"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Count of Emp_ID" fld="0" subtotal="count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35F1C-713B-4D17-8637-A044047BBE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E1:F6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Salary" fld="6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01FBB-50CA-41BA-89FD-ED7918C766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10:F15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Performance" fld="9" subtotal="average" baseField="4" baseItem="0" numFmtId="164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46884-950D-45A6-B627-0A8B3886A98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0:B15" firstHeaderRow="1" firstDataRow="1" firstDataCol="1" rowPageCount="1" colPageCount="1"/>
  <pivotFields count="16">
    <pivotField dataField="1"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pageFields count="1">
    <pageField fld="10" hier="-1"/>
  </pageFields>
  <dataFields count="1">
    <dataField name="Count of Emp_ID" fld="0" subtotal="count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E21D2A-F623-497E-8B64-F365BC1CFE10}" name="Table3" displayName="Table3" ref="A1:P501" totalsRowShown="0">
  <autoFilter ref="A1:P501" xr:uid="{38E21D2A-F623-497E-8B64-F365BC1CFE10}"/>
  <tableColumns count="16">
    <tableColumn id="1" xr3:uid="{32C86E99-CA20-447B-AF9C-A77115113000}" name="Emp_ID"/>
    <tableColumn id="2" xr3:uid="{786D196B-C7A9-4D97-B192-956511B12FF4}" name="Name"/>
    <tableColumn id="3" xr3:uid="{456AAF55-740D-4410-95E9-87837A04A26F}" name="Gender"/>
    <tableColumn id="4" xr3:uid="{58196978-4993-4A6C-9F9C-2A94CF35BB20}" name="Age"/>
    <tableColumn id="5" xr3:uid="{0F2A29CB-3A87-4FC0-88F5-6AE3CEA6838D}" name="Department"/>
    <tableColumn id="6" xr3:uid="{1EE043A7-A918-4D09-B26A-7794323EBA27}" name="Job_Role"/>
    <tableColumn id="7" xr3:uid="{AFD528D6-08F5-4D24-A4C3-1B9F07C9B987}" name="Salary"/>
    <tableColumn id="8" xr3:uid="{E3BA6515-00F9-46F6-AB7A-796DE0BEC6C8}" name="Experience"/>
    <tableColumn id="9" xr3:uid="{688A1931-7A2A-4EE6-AEB1-EBC6D08D979A}" name="Joining_Date" dataDxfId="9"/>
    <tableColumn id="10" xr3:uid="{8BAAF753-10C6-4B0E-9DC4-C2EC2C309E98}" name="Performance"/>
    <tableColumn id="11" xr3:uid="{1D1EB0B3-542A-4514-8B8F-C487E139DC70}" name="Attrition"/>
    <tableColumn id="12" xr3:uid="{52A60309-96F0-43ED-96A9-A57703B13CCD}" name="Location"/>
    <tableColumn id="13" xr3:uid="{1A4F1570-DB5F-4A8B-B0B1-2E4809F9D37C}" name="Age_Group" dataDxfId="8">
      <calculatedColumnFormula>IF(Table3[[#This Row],[Age]]&lt;30,"Young",IF(Table3[[#This Row],[Age]]&lt;=40,"Mid","Senior"))</calculatedColumnFormula>
    </tableColumn>
    <tableColumn id="14" xr3:uid="{DEA71515-C5DE-40C4-897A-9E22850A6ACC}" name="Exp_Level" dataDxfId="7">
      <calculatedColumnFormula>IF(Table3[[#This Row],[Experience]]&lt;3,"Junior",IF(Table3[[#This Row],[Experience]]&lt;=7,"Mid","Senior"))</calculatedColumnFormula>
    </tableColumn>
    <tableColumn id="15" xr3:uid="{A72567D2-5F3E-41BC-BB59-43C4F7CCDC2F}" name="Year_Joined" dataDxfId="6">
      <calculatedColumnFormula>YEAR(Table3[[#This Row],[Joining_Date]])</calculatedColumnFormula>
    </tableColumn>
    <tableColumn id="16" xr3:uid="{136B038F-8E5F-41FF-9B88-01EC84789CBB}" name="Retention_Risk" dataDxfId="5">
      <calculatedColumnFormula>IF(AND(Table3[[#This Row],[Performance]]&lt;=2,Table3[[#This Row],[Attrition]]="No"),"High Risk","Stable")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D7E2-71C4-4181-8252-57B1DBCC8A9F}">
  <dimension ref="A1:P501"/>
  <sheetViews>
    <sheetView tabSelected="1" workbookViewId="0">
      <selection activeCell="S11" sqref="S11"/>
    </sheetView>
  </sheetViews>
  <sheetFormatPr defaultRowHeight="15" x14ac:dyDescent="0.25"/>
  <cols>
    <col min="1" max="1" width="10" customWidth="1"/>
    <col min="2" max="2" width="16.140625" customWidth="1"/>
    <col min="3" max="4" width="12" customWidth="1"/>
    <col min="5" max="5" width="14" customWidth="1"/>
    <col min="6" max="6" width="14.140625" customWidth="1"/>
    <col min="8" max="8" width="13.28515625" customWidth="1"/>
    <col min="9" max="9" width="14.5703125" customWidth="1"/>
    <col min="10" max="10" width="14.7109375" customWidth="1"/>
    <col min="11" max="11" width="11.85546875" customWidth="1"/>
    <col min="12" max="13" width="10.85546875" customWidth="1"/>
    <col min="14" max="14" width="13" customWidth="1"/>
    <col min="16" max="16" width="11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563</v>
      </c>
      <c r="N1" t="s">
        <v>564</v>
      </c>
      <c r="O1" t="s">
        <v>565</v>
      </c>
      <c r="P1" t="s">
        <v>566</v>
      </c>
    </row>
    <row r="2" spans="1:16" x14ac:dyDescent="0.25">
      <c r="A2" t="s">
        <v>12</v>
      </c>
      <c r="B2" t="s">
        <v>13</v>
      </c>
      <c r="C2" t="s">
        <v>14</v>
      </c>
      <c r="D2">
        <v>29</v>
      </c>
      <c r="E2" t="s">
        <v>15</v>
      </c>
      <c r="F2" t="s">
        <v>16</v>
      </c>
      <c r="G2">
        <v>62066</v>
      </c>
      <c r="H2">
        <v>4</v>
      </c>
      <c r="I2" s="1">
        <v>42424</v>
      </c>
      <c r="J2">
        <v>5</v>
      </c>
      <c r="K2" t="s">
        <v>17</v>
      </c>
      <c r="L2" t="s">
        <v>18</v>
      </c>
      <c r="M2" t="str">
        <f>IF(Table3[[#This Row],[Age]]&lt;30,"Young",IF(Table3[[#This Row],[Age]]&lt;=40,"Mid","Senior"))</f>
        <v>Young</v>
      </c>
      <c r="N2" t="str">
        <f>IF(Table3[[#This Row],[Experience]]&lt;3,"Junior",IF(Table3[[#This Row],[Experience]]&lt;=7,"Mid","Senior"))</f>
        <v>Mid</v>
      </c>
      <c r="O2">
        <f>YEAR(Table3[[#This Row],[Joining_Date]])</f>
        <v>2016</v>
      </c>
      <c r="P2" t="str">
        <f>IF(AND(Table3[[#This Row],[Performance]]&lt;=2,Table3[[#This Row],[Attrition]]="No"),"High Risk","Stable")</f>
        <v>Stable</v>
      </c>
    </row>
    <row r="3" spans="1:16" x14ac:dyDescent="0.25">
      <c r="A3" t="s">
        <v>19</v>
      </c>
      <c r="B3" t="s">
        <v>20</v>
      </c>
      <c r="C3" t="s">
        <v>21</v>
      </c>
      <c r="D3">
        <v>29</v>
      </c>
      <c r="E3" t="s">
        <v>15</v>
      </c>
      <c r="F3" t="s">
        <v>16</v>
      </c>
      <c r="G3">
        <v>49195</v>
      </c>
      <c r="H3">
        <v>0</v>
      </c>
      <c r="I3" s="1">
        <v>42819</v>
      </c>
      <c r="J3">
        <v>5</v>
      </c>
      <c r="K3" t="s">
        <v>17</v>
      </c>
      <c r="L3" t="s">
        <v>18</v>
      </c>
      <c r="M3" t="str">
        <f>IF(Table3[[#This Row],[Age]]&lt;30,"Young",IF(Table3[[#This Row],[Age]]&lt;=40,"Mid","Senior"))</f>
        <v>Young</v>
      </c>
      <c r="N3" t="str">
        <f>IF(Table3[[#This Row],[Experience]]&lt;3,"Junior",IF(Table3[[#This Row],[Experience]]&lt;=7,"Mid","Senior"))</f>
        <v>Junior</v>
      </c>
      <c r="O3">
        <f>YEAR(Table3[[#This Row],[Joining_Date]])</f>
        <v>2017</v>
      </c>
      <c r="P3" t="str">
        <f>IF(AND(Table3[[#This Row],[Performance]]&lt;=2,Table3[[#This Row],[Attrition]]="No"),"High Risk","Stable")</f>
        <v>Stable</v>
      </c>
    </row>
    <row r="4" spans="1:16" x14ac:dyDescent="0.25">
      <c r="A4" t="s">
        <v>22</v>
      </c>
      <c r="B4" t="s">
        <v>23</v>
      </c>
      <c r="C4" t="s">
        <v>21</v>
      </c>
      <c r="D4">
        <v>32</v>
      </c>
      <c r="E4" t="s">
        <v>24</v>
      </c>
      <c r="F4" t="s">
        <v>25</v>
      </c>
      <c r="G4">
        <v>59547</v>
      </c>
      <c r="H4">
        <v>8</v>
      </c>
      <c r="I4" s="1">
        <v>42886</v>
      </c>
      <c r="J4">
        <v>3</v>
      </c>
      <c r="K4" t="s">
        <v>17</v>
      </c>
      <c r="L4" t="s">
        <v>18</v>
      </c>
      <c r="M4" t="str">
        <f>IF(Table3[[#This Row],[Age]]&lt;30,"Young",IF(Table3[[#This Row],[Age]]&lt;=40,"Mid","Senior"))</f>
        <v>Mid</v>
      </c>
      <c r="N4" t="str">
        <f>IF(Table3[[#This Row],[Experience]]&lt;3,"Junior",IF(Table3[[#This Row],[Experience]]&lt;=7,"Mid","Senior"))</f>
        <v>Senior</v>
      </c>
      <c r="O4">
        <f>YEAR(Table3[[#This Row],[Joining_Date]])</f>
        <v>2017</v>
      </c>
      <c r="P4" t="str">
        <f>IF(AND(Table3[[#This Row],[Performance]]&lt;=2,Table3[[#This Row],[Attrition]]="No"),"High Risk","Stable")</f>
        <v>Stable</v>
      </c>
    </row>
    <row r="5" spans="1:16" x14ac:dyDescent="0.25">
      <c r="A5" t="s">
        <v>26</v>
      </c>
      <c r="B5" t="s">
        <v>27</v>
      </c>
      <c r="C5" t="s">
        <v>14</v>
      </c>
      <c r="D5">
        <v>30</v>
      </c>
      <c r="E5" t="s">
        <v>15</v>
      </c>
      <c r="F5" t="s">
        <v>28</v>
      </c>
      <c r="G5">
        <v>54455</v>
      </c>
      <c r="H5">
        <v>1</v>
      </c>
      <c r="I5" s="1">
        <v>43886</v>
      </c>
      <c r="J5">
        <v>5</v>
      </c>
      <c r="K5" t="s">
        <v>17</v>
      </c>
      <c r="L5" t="s">
        <v>18</v>
      </c>
      <c r="M5" t="str">
        <f>IF(Table3[[#This Row],[Age]]&lt;30,"Young",IF(Table3[[#This Row],[Age]]&lt;=40,"Mid","Senior"))</f>
        <v>Mid</v>
      </c>
      <c r="N5" t="str">
        <f>IF(Table3[[#This Row],[Experience]]&lt;3,"Junior",IF(Table3[[#This Row],[Experience]]&lt;=7,"Mid","Senior"))</f>
        <v>Junior</v>
      </c>
      <c r="O5">
        <f>YEAR(Table3[[#This Row],[Joining_Date]])</f>
        <v>2020</v>
      </c>
      <c r="P5" t="str">
        <f>IF(AND(Table3[[#This Row],[Performance]]&lt;=2,Table3[[#This Row],[Attrition]]="No"),"High Risk","Stable")</f>
        <v>Stable</v>
      </c>
    </row>
    <row r="6" spans="1:16" x14ac:dyDescent="0.25">
      <c r="A6" t="s">
        <v>29</v>
      </c>
      <c r="B6" t="s">
        <v>27</v>
      </c>
      <c r="C6" t="s">
        <v>14</v>
      </c>
      <c r="D6">
        <v>33</v>
      </c>
      <c r="E6" t="s">
        <v>15</v>
      </c>
      <c r="F6" t="s">
        <v>30</v>
      </c>
      <c r="G6">
        <v>66543</v>
      </c>
      <c r="H6">
        <v>6</v>
      </c>
      <c r="I6" s="1">
        <v>42289</v>
      </c>
      <c r="J6">
        <v>1</v>
      </c>
      <c r="K6" t="s">
        <v>17</v>
      </c>
      <c r="L6" t="s">
        <v>31</v>
      </c>
      <c r="M6" t="str">
        <f>IF(Table3[[#This Row],[Age]]&lt;30,"Young",IF(Table3[[#This Row],[Age]]&lt;=40,"Mid","Senior"))</f>
        <v>Mid</v>
      </c>
      <c r="N6" t="str">
        <f>IF(Table3[[#This Row],[Experience]]&lt;3,"Junior",IF(Table3[[#This Row],[Experience]]&lt;=7,"Mid","Senior"))</f>
        <v>Mid</v>
      </c>
      <c r="O6">
        <f>YEAR(Table3[[#This Row],[Joining_Date]])</f>
        <v>2015</v>
      </c>
      <c r="P6" t="str">
        <f>IF(AND(Table3[[#This Row],[Performance]]&lt;=2,Table3[[#This Row],[Attrition]]="No"),"High Risk","Stable")</f>
        <v>High Risk</v>
      </c>
    </row>
    <row r="7" spans="1:16" x14ac:dyDescent="0.25">
      <c r="A7" t="s">
        <v>32</v>
      </c>
      <c r="B7" t="s">
        <v>33</v>
      </c>
      <c r="C7" t="s">
        <v>14</v>
      </c>
      <c r="D7">
        <v>36</v>
      </c>
      <c r="E7" t="s">
        <v>34</v>
      </c>
      <c r="F7" t="s">
        <v>35</v>
      </c>
      <c r="G7">
        <v>63164</v>
      </c>
      <c r="H7">
        <v>11</v>
      </c>
      <c r="I7" s="1">
        <v>43521</v>
      </c>
      <c r="J7">
        <v>3</v>
      </c>
      <c r="K7" t="s">
        <v>17</v>
      </c>
      <c r="L7" t="s">
        <v>36</v>
      </c>
      <c r="M7" t="str">
        <f>IF(Table3[[#This Row],[Age]]&lt;30,"Young",IF(Table3[[#This Row],[Age]]&lt;=40,"Mid","Senior"))</f>
        <v>Mid</v>
      </c>
      <c r="N7" t="str">
        <f>IF(Table3[[#This Row],[Experience]]&lt;3,"Junior",IF(Table3[[#This Row],[Experience]]&lt;=7,"Mid","Senior"))</f>
        <v>Senior</v>
      </c>
      <c r="O7">
        <f>YEAR(Table3[[#This Row],[Joining_Date]])</f>
        <v>2019</v>
      </c>
      <c r="P7" t="str">
        <f>IF(AND(Table3[[#This Row],[Performance]]&lt;=2,Table3[[#This Row],[Attrition]]="No"),"High Risk","Stable")</f>
        <v>Stable</v>
      </c>
    </row>
    <row r="8" spans="1:16" x14ac:dyDescent="0.25">
      <c r="A8" t="s">
        <v>37</v>
      </c>
      <c r="B8" t="s">
        <v>38</v>
      </c>
      <c r="C8" t="s">
        <v>21</v>
      </c>
      <c r="D8">
        <v>45</v>
      </c>
      <c r="E8" t="s">
        <v>15</v>
      </c>
      <c r="F8" t="s">
        <v>30</v>
      </c>
      <c r="G8">
        <v>60177</v>
      </c>
      <c r="H8">
        <v>7</v>
      </c>
      <c r="I8" s="1">
        <v>43898</v>
      </c>
      <c r="J8">
        <v>4</v>
      </c>
      <c r="K8" t="s">
        <v>17</v>
      </c>
      <c r="L8" t="s">
        <v>39</v>
      </c>
      <c r="M8" t="str">
        <f>IF(Table3[[#This Row],[Age]]&lt;30,"Young",IF(Table3[[#This Row],[Age]]&lt;=40,"Mid","Senior"))</f>
        <v>Senior</v>
      </c>
      <c r="N8" t="str">
        <f>IF(Table3[[#This Row],[Experience]]&lt;3,"Junior",IF(Table3[[#This Row],[Experience]]&lt;=7,"Mid","Senior"))</f>
        <v>Mid</v>
      </c>
      <c r="O8">
        <f>YEAR(Table3[[#This Row],[Joining_Date]])</f>
        <v>2020</v>
      </c>
      <c r="P8" t="str">
        <f>IF(AND(Table3[[#This Row],[Performance]]&lt;=2,Table3[[#This Row],[Attrition]]="No"),"High Risk","Stable")</f>
        <v>Stable</v>
      </c>
    </row>
    <row r="9" spans="1:16" x14ac:dyDescent="0.25">
      <c r="A9" t="s">
        <v>40</v>
      </c>
      <c r="B9" t="s">
        <v>13</v>
      </c>
      <c r="C9" t="s">
        <v>21</v>
      </c>
      <c r="D9">
        <v>23</v>
      </c>
      <c r="E9" t="s">
        <v>34</v>
      </c>
      <c r="F9" t="s">
        <v>41</v>
      </c>
      <c r="G9">
        <v>44572</v>
      </c>
      <c r="H9">
        <v>2</v>
      </c>
      <c r="I9" s="1">
        <v>43101</v>
      </c>
      <c r="J9">
        <v>1</v>
      </c>
      <c r="K9" t="s">
        <v>42</v>
      </c>
      <c r="L9" t="s">
        <v>43</v>
      </c>
      <c r="M9" t="str">
        <f>IF(Table3[[#This Row],[Age]]&lt;30,"Young",IF(Table3[[#This Row],[Age]]&lt;=40,"Mid","Senior"))</f>
        <v>Young</v>
      </c>
      <c r="N9" t="str">
        <f>IF(Table3[[#This Row],[Experience]]&lt;3,"Junior",IF(Table3[[#This Row],[Experience]]&lt;=7,"Mid","Senior"))</f>
        <v>Junior</v>
      </c>
      <c r="O9">
        <f>YEAR(Table3[[#This Row],[Joining_Date]])</f>
        <v>2018</v>
      </c>
      <c r="P9" t="str">
        <f>IF(AND(Table3[[#This Row],[Performance]]&lt;=2,Table3[[#This Row],[Attrition]]="No"),"High Risk","Stable")</f>
        <v>Stable</v>
      </c>
    </row>
    <row r="10" spans="1:16" x14ac:dyDescent="0.25">
      <c r="A10" t="s">
        <v>44</v>
      </c>
      <c r="B10" t="s">
        <v>45</v>
      </c>
      <c r="C10" t="s">
        <v>14</v>
      </c>
      <c r="D10">
        <v>42</v>
      </c>
      <c r="E10" t="s">
        <v>24</v>
      </c>
      <c r="F10" t="s">
        <v>46</v>
      </c>
      <c r="G10">
        <v>74340</v>
      </c>
      <c r="H10">
        <v>14</v>
      </c>
      <c r="I10" s="1">
        <v>43089</v>
      </c>
      <c r="J10">
        <v>2</v>
      </c>
      <c r="K10" t="s">
        <v>42</v>
      </c>
      <c r="L10" t="s">
        <v>43</v>
      </c>
      <c r="M10" t="str">
        <f>IF(Table3[[#This Row],[Age]]&lt;30,"Young",IF(Table3[[#This Row],[Age]]&lt;=40,"Mid","Senior"))</f>
        <v>Senior</v>
      </c>
      <c r="N10" t="str">
        <f>IF(Table3[[#This Row],[Experience]]&lt;3,"Junior",IF(Table3[[#This Row],[Experience]]&lt;=7,"Mid","Senior"))</f>
        <v>Senior</v>
      </c>
      <c r="O10">
        <f>YEAR(Table3[[#This Row],[Joining_Date]])</f>
        <v>2017</v>
      </c>
      <c r="P10" t="str">
        <f>IF(AND(Table3[[#This Row],[Performance]]&lt;=2,Table3[[#This Row],[Attrition]]="No"),"High Risk","Stable")</f>
        <v>Stable</v>
      </c>
    </row>
    <row r="11" spans="1:16" x14ac:dyDescent="0.25">
      <c r="A11" t="s">
        <v>47</v>
      </c>
      <c r="B11" t="s">
        <v>48</v>
      </c>
      <c r="C11" t="s">
        <v>14</v>
      </c>
      <c r="D11">
        <v>29</v>
      </c>
      <c r="E11" t="s">
        <v>24</v>
      </c>
      <c r="F11" t="s">
        <v>49</v>
      </c>
      <c r="G11">
        <v>55348</v>
      </c>
      <c r="H11">
        <v>4</v>
      </c>
      <c r="I11" s="1">
        <v>44026</v>
      </c>
      <c r="J11">
        <v>1</v>
      </c>
      <c r="K11" t="s">
        <v>17</v>
      </c>
      <c r="L11" t="s">
        <v>50</v>
      </c>
      <c r="M11" t="str">
        <f>IF(Table3[[#This Row],[Age]]&lt;30,"Young",IF(Table3[[#This Row],[Age]]&lt;=40,"Mid","Senior"))</f>
        <v>Young</v>
      </c>
      <c r="N11" t="str">
        <f>IF(Table3[[#This Row],[Experience]]&lt;3,"Junior",IF(Table3[[#This Row],[Experience]]&lt;=7,"Mid","Senior"))</f>
        <v>Mid</v>
      </c>
      <c r="O11">
        <f>YEAR(Table3[[#This Row],[Joining_Date]])</f>
        <v>2020</v>
      </c>
      <c r="P11" t="str">
        <f>IF(AND(Table3[[#This Row],[Performance]]&lt;=2,Table3[[#This Row],[Attrition]]="No"),"High Risk","Stable")</f>
        <v>High Risk</v>
      </c>
    </row>
    <row r="12" spans="1:16" x14ac:dyDescent="0.25">
      <c r="A12" t="s">
        <v>51</v>
      </c>
      <c r="B12" t="s">
        <v>45</v>
      </c>
      <c r="C12" t="s">
        <v>21</v>
      </c>
      <c r="D12">
        <v>34</v>
      </c>
      <c r="E12" t="s">
        <v>34</v>
      </c>
      <c r="F12" t="s">
        <v>52</v>
      </c>
      <c r="G12">
        <v>74169</v>
      </c>
      <c r="H12">
        <v>13</v>
      </c>
      <c r="I12" s="1">
        <v>43034</v>
      </c>
      <c r="J12">
        <v>5</v>
      </c>
      <c r="K12" t="s">
        <v>17</v>
      </c>
      <c r="L12" t="s">
        <v>31</v>
      </c>
      <c r="M12" t="str">
        <f>IF(Table3[[#This Row],[Age]]&lt;30,"Young",IF(Table3[[#This Row],[Age]]&lt;=40,"Mid","Senior"))</f>
        <v>Mid</v>
      </c>
      <c r="N12" t="str">
        <f>IF(Table3[[#This Row],[Experience]]&lt;3,"Junior",IF(Table3[[#This Row],[Experience]]&lt;=7,"Mid","Senior"))</f>
        <v>Senior</v>
      </c>
      <c r="O12">
        <f>YEAR(Table3[[#This Row],[Joining_Date]])</f>
        <v>2017</v>
      </c>
      <c r="P12" t="str">
        <f>IF(AND(Table3[[#This Row],[Performance]]&lt;=2,Table3[[#This Row],[Attrition]]="No"),"High Risk","Stable")</f>
        <v>Stable</v>
      </c>
    </row>
    <row r="13" spans="1:16" x14ac:dyDescent="0.25">
      <c r="A13" t="s">
        <v>53</v>
      </c>
      <c r="B13" t="s">
        <v>54</v>
      </c>
      <c r="C13" t="s">
        <v>14</v>
      </c>
      <c r="D13">
        <v>25</v>
      </c>
      <c r="E13" t="s">
        <v>15</v>
      </c>
      <c r="F13" t="s">
        <v>30</v>
      </c>
      <c r="G13">
        <v>57123</v>
      </c>
      <c r="H13">
        <v>4</v>
      </c>
      <c r="I13" s="1">
        <v>42652</v>
      </c>
      <c r="J13">
        <v>4</v>
      </c>
      <c r="K13" t="s">
        <v>42</v>
      </c>
      <c r="L13" t="s">
        <v>39</v>
      </c>
      <c r="M13" t="str">
        <f>IF(Table3[[#This Row],[Age]]&lt;30,"Young",IF(Table3[[#This Row],[Age]]&lt;=40,"Mid","Senior"))</f>
        <v>Young</v>
      </c>
      <c r="N13" t="str">
        <f>IF(Table3[[#This Row],[Experience]]&lt;3,"Junior",IF(Table3[[#This Row],[Experience]]&lt;=7,"Mid","Senior"))</f>
        <v>Mid</v>
      </c>
      <c r="O13">
        <f>YEAR(Table3[[#This Row],[Joining_Date]])</f>
        <v>2016</v>
      </c>
      <c r="P13" t="str">
        <f>IF(AND(Table3[[#This Row],[Performance]]&lt;=2,Table3[[#This Row],[Attrition]]="No"),"High Risk","Stable")</f>
        <v>Stable</v>
      </c>
    </row>
    <row r="14" spans="1:16" x14ac:dyDescent="0.25">
      <c r="A14" t="s">
        <v>55</v>
      </c>
      <c r="B14" t="s">
        <v>56</v>
      </c>
      <c r="C14" t="s">
        <v>21</v>
      </c>
      <c r="D14">
        <v>42</v>
      </c>
      <c r="E14" t="s">
        <v>24</v>
      </c>
      <c r="F14" t="s">
        <v>46</v>
      </c>
      <c r="G14">
        <v>54504</v>
      </c>
      <c r="H14">
        <v>6</v>
      </c>
      <c r="I14" s="1">
        <v>43536</v>
      </c>
      <c r="J14">
        <v>2</v>
      </c>
      <c r="K14" t="s">
        <v>17</v>
      </c>
      <c r="L14" t="s">
        <v>43</v>
      </c>
      <c r="M14" t="str">
        <f>IF(Table3[[#This Row],[Age]]&lt;30,"Young",IF(Table3[[#This Row],[Age]]&lt;=40,"Mid","Senior"))</f>
        <v>Senior</v>
      </c>
      <c r="N14" t="str">
        <f>IF(Table3[[#This Row],[Experience]]&lt;3,"Junior",IF(Table3[[#This Row],[Experience]]&lt;=7,"Mid","Senior"))</f>
        <v>Mid</v>
      </c>
      <c r="O14">
        <f>YEAR(Table3[[#This Row],[Joining_Date]])</f>
        <v>2019</v>
      </c>
      <c r="P14" t="str">
        <f>IF(AND(Table3[[#This Row],[Performance]]&lt;=2,Table3[[#This Row],[Attrition]]="No"),"High Risk","Stable")</f>
        <v>High Risk</v>
      </c>
    </row>
    <row r="15" spans="1:16" x14ac:dyDescent="0.25">
      <c r="A15" t="s">
        <v>57</v>
      </c>
      <c r="B15" t="s">
        <v>58</v>
      </c>
      <c r="C15" t="s">
        <v>14</v>
      </c>
      <c r="D15">
        <v>22</v>
      </c>
      <c r="E15" t="s">
        <v>15</v>
      </c>
      <c r="F15" t="s">
        <v>30</v>
      </c>
      <c r="G15">
        <v>48447</v>
      </c>
      <c r="H15">
        <v>1</v>
      </c>
      <c r="I15" s="1">
        <v>45604</v>
      </c>
      <c r="J15">
        <v>3</v>
      </c>
      <c r="K15" t="s">
        <v>17</v>
      </c>
      <c r="L15" t="s">
        <v>50</v>
      </c>
      <c r="M15" t="str">
        <f>IF(Table3[[#This Row],[Age]]&lt;30,"Young",IF(Table3[[#This Row],[Age]]&lt;=40,"Mid","Senior"))</f>
        <v>Young</v>
      </c>
      <c r="N15" t="str">
        <f>IF(Table3[[#This Row],[Experience]]&lt;3,"Junior",IF(Table3[[#This Row],[Experience]]&lt;=7,"Mid","Senior"))</f>
        <v>Junior</v>
      </c>
      <c r="O15">
        <f>YEAR(Table3[[#This Row],[Joining_Date]])</f>
        <v>2024</v>
      </c>
      <c r="P15" t="str">
        <f>IF(AND(Table3[[#This Row],[Performance]]&lt;=2,Table3[[#This Row],[Attrition]]="No"),"High Risk","Stable")</f>
        <v>Stable</v>
      </c>
    </row>
    <row r="16" spans="1:16" x14ac:dyDescent="0.25">
      <c r="A16" t="s">
        <v>59</v>
      </c>
      <c r="B16" t="s">
        <v>60</v>
      </c>
      <c r="C16" t="s">
        <v>14</v>
      </c>
      <c r="D16">
        <v>39</v>
      </c>
      <c r="E16" t="s">
        <v>15</v>
      </c>
      <c r="F16" t="s">
        <v>16</v>
      </c>
      <c r="G16">
        <v>52103</v>
      </c>
      <c r="H16">
        <v>4</v>
      </c>
      <c r="I16" s="1">
        <v>44707</v>
      </c>
      <c r="J16">
        <v>4</v>
      </c>
      <c r="K16" t="s">
        <v>17</v>
      </c>
      <c r="L16" t="s">
        <v>50</v>
      </c>
      <c r="M16" t="str">
        <f>IF(Table3[[#This Row],[Age]]&lt;30,"Young",IF(Table3[[#This Row],[Age]]&lt;=40,"Mid","Senior"))</f>
        <v>Mid</v>
      </c>
      <c r="N16" t="str">
        <f>IF(Table3[[#This Row],[Experience]]&lt;3,"Junior",IF(Table3[[#This Row],[Experience]]&lt;=7,"Mid","Senior"))</f>
        <v>Mid</v>
      </c>
      <c r="O16">
        <f>YEAR(Table3[[#This Row],[Joining_Date]])</f>
        <v>2022</v>
      </c>
      <c r="P16" t="str">
        <f>IF(AND(Table3[[#This Row],[Performance]]&lt;=2,Table3[[#This Row],[Attrition]]="No"),"High Risk","Stable")</f>
        <v>Stable</v>
      </c>
    </row>
    <row r="17" spans="1:16" x14ac:dyDescent="0.25">
      <c r="A17" t="s">
        <v>61</v>
      </c>
      <c r="B17" t="s">
        <v>38</v>
      </c>
      <c r="C17" t="s">
        <v>21</v>
      </c>
      <c r="D17">
        <v>45</v>
      </c>
      <c r="E17" t="s">
        <v>24</v>
      </c>
      <c r="F17" t="s">
        <v>49</v>
      </c>
      <c r="G17">
        <v>63680</v>
      </c>
      <c r="H17">
        <v>6</v>
      </c>
      <c r="I17" s="1">
        <v>43281</v>
      </c>
      <c r="J17">
        <v>4</v>
      </c>
      <c r="K17" t="s">
        <v>17</v>
      </c>
      <c r="L17" t="s">
        <v>39</v>
      </c>
      <c r="M17" t="str">
        <f>IF(Table3[[#This Row],[Age]]&lt;30,"Young",IF(Table3[[#This Row],[Age]]&lt;=40,"Mid","Senior"))</f>
        <v>Senior</v>
      </c>
      <c r="N17" t="str">
        <f>IF(Table3[[#This Row],[Experience]]&lt;3,"Junior",IF(Table3[[#This Row],[Experience]]&lt;=7,"Mid","Senior"))</f>
        <v>Mid</v>
      </c>
      <c r="O17">
        <f>YEAR(Table3[[#This Row],[Joining_Date]])</f>
        <v>2018</v>
      </c>
      <c r="P17" t="str">
        <f>IF(AND(Table3[[#This Row],[Performance]]&lt;=2,Table3[[#This Row],[Attrition]]="No"),"High Risk","Stable")</f>
        <v>Stable</v>
      </c>
    </row>
    <row r="18" spans="1:16" x14ac:dyDescent="0.25">
      <c r="A18" t="s">
        <v>62</v>
      </c>
      <c r="B18" t="s">
        <v>63</v>
      </c>
      <c r="C18" t="s">
        <v>14</v>
      </c>
      <c r="D18">
        <v>29</v>
      </c>
      <c r="E18" t="s">
        <v>24</v>
      </c>
      <c r="F18" t="s">
        <v>49</v>
      </c>
      <c r="G18">
        <v>55549</v>
      </c>
      <c r="H18">
        <v>7</v>
      </c>
      <c r="I18" s="1">
        <v>43389</v>
      </c>
      <c r="J18">
        <v>1</v>
      </c>
      <c r="K18" t="s">
        <v>17</v>
      </c>
      <c r="L18" t="s">
        <v>50</v>
      </c>
      <c r="M18" t="str">
        <f>IF(Table3[[#This Row],[Age]]&lt;30,"Young",IF(Table3[[#This Row],[Age]]&lt;=40,"Mid","Senior"))</f>
        <v>Young</v>
      </c>
      <c r="N18" t="str">
        <f>IF(Table3[[#This Row],[Experience]]&lt;3,"Junior",IF(Table3[[#This Row],[Experience]]&lt;=7,"Mid","Senior"))</f>
        <v>Mid</v>
      </c>
      <c r="O18">
        <f>YEAR(Table3[[#This Row],[Joining_Date]])</f>
        <v>2018</v>
      </c>
      <c r="P18" t="str">
        <f>IF(AND(Table3[[#This Row],[Performance]]&lt;=2,Table3[[#This Row],[Attrition]]="No"),"High Risk","Stable")</f>
        <v>High Risk</v>
      </c>
    </row>
    <row r="19" spans="1:16" x14ac:dyDescent="0.25">
      <c r="A19" t="s">
        <v>64</v>
      </c>
      <c r="B19" t="s">
        <v>13</v>
      </c>
      <c r="C19" t="s">
        <v>21</v>
      </c>
      <c r="D19">
        <v>24</v>
      </c>
      <c r="E19" t="s">
        <v>15</v>
      </c>
      <c r="F19" t="s">
        <v>16</v>
      </c>
      <c r="G19">
        <v>47913</v>
      </c>
      <c r="H19">
        <v>1</v>
      </c>
      <c r="I19" s="1">
        <v>42295</v>
      </c>
      <c r="J19">
        <v>5</v>
      </c>
      <c r="K19" t="s">
        <v>17</v>
      </c>
      <c r="L19" t="s">
        <v>39</v>
      </c>
      <c r="M19" t="str">
        <f>IF(Table3[[#This Row],[Age]]&lt;30,"Young",IF(Table3[[#This Row],[Age]]&lt;=40,"Mid","Senior"))</f>
        <v>Young</v>
      </c>
      <c r="N19" t="str">
        <f>IF(Table3[[#This Row],[Experience]]&lt;3,"Junior",IF(Table3[[#This Row],[Experience]]&lt;=7,"Mid","Senior"))</f>
        <v>Junior</v>
      </c>
      <c r="O19">
        <f>YEAR(Table3[[#This Row],[Joining_Date]])</f>
        <v>2015</v>
      </c>
      <c r="P19" t="str">
        <f>IF(AND(Table3[[#This Row],[Performance]]&lt;=2,Table3[[#This Row],[Attrition]]="No"),"High Risk","Stable")</f>
        <v>Stable</v>
      </c>
    </row>
    <row r="20" spans="1:16" x14ac:dyDescent="0.25">
      <c r="A20" t="s">
        <v>65</v>
      </c>
      <c r="B20" t="s">
        <v>66</v>
      </c>
      <c r="C20" t="s">
        <v>21</v>
      </c>
      <c r="D20">
        <v>40</v>
      </c>
      <c r="E20" t="s">
        <v>67</v>
      </c>
      <c r="F20" t="s">
        <v>68</v>
      </c>
      <c r="G20">
        <v>76481</v>
      </c>
      <c r="H20">
        <v>15</v>
      </c>
      <c r="I20" s="1">
        <v>45218</v>
      </c>
      <c r="J20">
        <v>4</v>
      </c>
      <c r="K20" t="s">
        <v>17</v>
      </c>
      <c r="L20" t="s">
        <v>50</v>
      </c>
      <c r="M20" t="str">
        <f>IF(Table3[[#This Row],[Age]]&lt;30,"Young",IF(Table3[[#This Row],[Age]]&lt;=40,"Mid","Senior"))</f>
        <v>Mid</v>
      </c>
      <c r="N20" t="str">
        <f>IF(Table3[[#This Row],[Experience]]&lt;3,"Junior",IF(Table3[[#This Row],[Experience]]&lt;=7,"Mid","Senior"))</f>
        <v>Senior</v>
      </c>
      <c r="O20">
        <f>YEAR(Table3[[#This Row],[Joining_Date]])</f>
        <v>2023</v>
      </c>
      <c r="P20" t="str">
        <f>IF(AND(Table3[[#This Row],[Performance]]&lt;=2,Table3[[#This Row],[Attrition]]="No"),"High Risk","Stable")</f>
        <v>Stable</v>
      </c>
    </row>
    <row r="21" spans="1:16" x14ac:dyDescent="0.25">
      <c r="A21" t="s">
        <v>69</v>
      </c>
      <c r="B21" t="s">
        <v>48</v>
      </c>
      <c r="C21" t="s">
        <v>14</v>
      </c>
      <c r="D21">
        <v>35</v>
      </c>
      <c r="E21" t="s">
        <v>15</v>
      </c>
      <c r="F21" t="s">
        <v>16</v>
      </c>
      <c r="G21">
        <v>80151</v>
      </c>
      <c r="H21">
        <v>13</v>
      </c>
      <c r="I21" s="1">
        <v>45543</v>
      </c>
      <c r="J21">
        <v>1</v>
      </c>
      <c r="K21" t="s">
        <v>17</v>
      </c>
      <c r="L21" t="s">
        <v>31</v>
      </c>
      <c r="M21" t="str">
        <f>IF(Table3[[#This Row],[Age]]&lt;30,"Young",IF(Table3[[#This Row],[Age]]&lt;=40,"Mid","Senior"))</f>
        <v>Mid</v>
      </c>
      <c r="N21" t="str">
        <f>IF(Table3[[#This Row],[Experience]]&lt;3,"Junior",IF(Table3[[#This Row],[Experience]]&lt;=7,"Mid","Senior"))</f>
        <v>Senior</v>
      </c>
      <c r="O21">
        <f>YEAR(Table3[[#This Row],[Joining_Date]])</f>
        <v>2024</v>
      </c>
      <c r="P21" t="str">
        <f>IF(AND(Table3[[#This Row],[Performance]]&lt;=2,Table3[[#This Row],[Attrition]]="No"),"High Risk","Stable")</f>
        <v>High Risk</v>
      </c>
    </row>
    <row r="22" spans="1:16" x14ac:dyDescent="0.25">
      <c r="A22" t="s">
        <v>70</v>
      </c>
      <c r="B22" t="s">
        <v>63</v>
      </c>
      <c r="C22" t="s">
        <v>14</v>
      </c>
      <c r="D22">
        <v>29</v>
      </c>
      <c r="E22" t="s">
        <v>15</v>
      </c>
      <c r="F22" t="s">
        <v>71</v>
      </c>
      <c r="G22">
        <v>58116</v>
      </c>
      <c r="H22">
        <v>6</v>
      </c>
      <c r="I22" s="1">
        <v>44201</v>
      </c>
      <c r="J22">
        <v>4</v>
      </c>
      <c r="K22" t="s">
        <v>17</v>
      </c>
      <c r="L22" t="s">
        <v>50</v>
      </c>
      <c r="M22" t="str">
        <f>IF(Table3[[#This Row],[Age]]&lt;30,"Young",IF(Table3[[#This Row],[Age]]&lt;=40,"Mid","Senior"))</f>
        <v>Young</v>
      </c>
      <c r="N22" t="str">
        <f>IF(Table3[[#This Row],[Experience]]&lt;3,"Junior",IF(Table3[[#This Row],[Experience]]&lt;=7,"Mid","Senior"))</f>
        <v>Mid</v>
      </c>
      <c r="O22">
        <f>YEAR(Table3[[#This Row],[Joining_Date]])</f>
        <v>2021</v>
      </c>
      <c r="P22" t="str">
        <f>IF(AND(Table3[[#This Row],[Performance]]&lt;=2,Table3[[#This Row],[Attrition]]="No"),"High Risk","Stable")</f>
        <v>Stable</v>
      </c>
    </row>
    <row r="23" spans="1:16" x14ac:dyDescent="0.25">
      <c r="A23" t="s">
        <v>72</v>
      </c>
      <c r="B23" t="s">
        <v>60</v>
      </c>
      <c r="C23" t="s">
        <v>21</v>
      </c>
      <c r="D23">
        <v>36</v>
      </c>
      <c r="E23" t="s">
        <v>24</v>
      </c>
      <c r="F23" t="s">
        <v>49</v>
      </c>
      <c r="G23">
        <v>45328</v>
      </c>
      <c r="H23">
        <v>3</v>
      </c>
      <c r="I23" s="1">
        <v>44676</v>
      </c>
      <c r="J23">
        <v>5</v>
      </c>
      <c r="K23" t="s">
        <v>17</v>
      </c>
      <c r="L23" t="s">
        <v>31</v>
      </c>
      <c r="M23" t="str">
        <f>IF(Table3[[#This Row],[Age]]&lt;30,"Young",IF(Table3[[#This Row],[Age]]&lt;=40,"Mid","Senior"))</f>
        <v>Mid</v>
      </c>
      <c r="N23" t="str">
        <f>IF(Table3[[#This Row],[Experience]]&lt;3,"Junior",IF(Table3[[#This Row],[Experience]]&lt;=7,"Mid","Senior"))</f>
        <v>Mid</v>
      </c>
      <c r="O23">
        <f>YEAR(Table3[[#This Row],[Joining_Date]])</f>
        <v>2022</v>
      </c>
      <c r="P23" t="str">
        <f>IF(AND(Table3[[#This Row],[Performance]]&lt;=2,Table3[[#This Row],[Attrition]]="No"),"High Risk","Stable")</f>
        <v>Stable</v>
      </c>
    </row>
    <row r="24" spans="1:16" x14ac:dyDescent="0.25">
      <c r="A24" t="s">
        <v>73</v>
      </c>
      <c r="B24" t="s">
        <v>58</v>
      </c>
      <c r="C24" t="s">
        <v>14</v>
      </c>
      <c r="D24">
        <v>37</v>
      </c>
      <c r="E24" t="s">
        <v>34</v>
      </c>
      <c r="F24" t="s">
        <v>74</v>
      </c>
      <c r="G24">
        <v>54570</v>
      </c>
      <c r="H24">
        <v>6</v>
      </c>
      <c r="I24" s="1">
        <v>45701</v>
      </c>
      <c r="J24">
        <v>1</v>
      </c>
      <c r="K24" t="s">
        <v>42</v>
      </c>
      <c r="L24" t="s">
        <v>31</v>
      </c>
      <c r="M24" t="str">
        <f>IF(Table3[[#This Row],[Age]]&lt;30,"Young",IF(Table3[[#This Row],[Age]]&lt;=40,"Mid","Senior"))</f>
        <v>Mid</v>
      </c>
      <c r="N24" t="str">
        <f>IF(Table3[[#This Row],[Experience]]&lt;3,"Junior",IF(Table3[[#This Row],[Experience]]&lt;=7,"Mid","Senior"))</f>
        <v>Mid</v>
      </c>
      <c r="O24">
        <f>YEAR(Table3[[#This Row],[Joining_Date]])</f>
        <v>2025</v>
      </c>
      <c r="P24" t="str">
        <f>IF(AND(Table3[[#This Row],[Performance]]&lt;=2,Table3[[#This Row],[Attrition]]="No"),"High Risk","Stable")</f>
        <v>Stable</v>
      </c>
    </row>
    <row r="25" spans="1:16" x14ac:dyDescent="0.25">
      <c r="A25" t="s">
        <v>75</v>
      </c>
      <c r="B25" t="s">
        <v>56</v>
      </c>
      <c r="C25" t="s">
        <v>14</v>
      </c>
      <c r="D25">
        <v>35</v>
      </c>
      <c r="E25" t="s">
        <v>67</v>
      </c>
      <c r="F25" t="s">
        <v>76</v>
      </c>
      <c r="G25">
        <v>72536</v>
      </c>
      <c r="H25">
        <v>14</v>
      </c>
      <c r="I25" s="1">
        <v>42782</v>
      </c>
      <c r="J25">
        <v>3</v>
      </c>
      <c r="K25" t="s">
        <v>17</v>
      </c>
      <c r="L25" t="s">
        <v>31</v>
      </c>
      <c r="M25" t="str">
        <f>IF(Table3[[#This Row],[Age]]&lt;30,"Young",IF(Table3[[#This Row],[Age]]&lt;=40,"Mid","Senior"))</f>
        <v>Mid</v>
      </c>
      <c r="N25" t="str">
        <f>IF(Table3[[#This Row],[Experience]]&lt;3,"Junior",IF(Table3[[#This Row],[Experience]]&lt;=7,"Mid","Senior"))</f>
        <v>Senior</v>
      </c>
      <c r="O25">
        <f>YEAR(Table3[[#This Row],[Joining_Date]])</f>
        <v>2017</v>
      </c>
      <c r="P25" t="str">
        <f>IF(AND(Table3[[#This Row],[Performance]]&lt;=2,Table3[[#This Row],[Attrition]]="No"),"High Risk","Stable")</f>
        <v>Stable</v>
      </c>
    </row>
    <row r="26" spans="1:16" x14ac:dyDescent="0.25">
      <c r="A26" t="s">
        <v>77</v>
      </c>
      <c r="B26" t="s">
        <v>78</v>
      </c>
      <c r="C26" t="s">
        <v>21</v>
      </c>
      <c r="D26">
        <v>40</v>
      </c>
      <c r="E26" t="s">
        <v>15</v>
      </c>
      <c r="F26" t="s">
        <v>28</v>
      </c>
      <c r="G26">
        <v>85738</v>
      </c>
      <c r="H26">
        <v>15</v>
      </c>
      <c r="I26" s="1">
        <v>45770</v>
      </c>
      <c r="J26">
        <v>5</v>
      </c>
      <c r="K26" t="s">
        <v>17</v>
      </c>
      <c r="L26" t="s">
        <v>43</v>
      </c>
      <c r="M26" t="str">
        <f>IF(Table3[[#This Row],[Age]]&lt;30,"Young",IF(Table3[[#This Row],[Age]]&lt;=40,"Mid","Senior"))</f>
        <v>Mid</v>
      </c>
      <c r="N26" t="str">
        <f>IF(Table3[[#This Row],[Experience]]&lt;3,"Junior",IF(Table3[[#This Row],[Experience]]&lt;=7,"Mid","Senior"))</f>
        <v>Senior</v>
      </c>
      <c r="O26">
        <f>YEAR(Table3[[#This Row],[Joining_Date]])</f>
        <v>2025</v>
      </c>
      <c r="P26" t="str">
        <f>IF(AND(Table3[[#This Row],[Performance]]&lt;=2,Table3[[#This Row],[Attrition]]="No"),"High Risk","Stable")</f>
        <v>Stable</v>
      </c>
    </row>
    <row r="27" spans="1:16" x14ac:dyDescent="0.25">
      <c r="A27" t="s">
        <v>79</v>
      </c>
      <c r="B27" t="s">
        <v>27</v>
      </c>
      <c r="C27" t="s">
        <v>21</v>
      </c>
      <c r="D27">
        <v>24</v>
      </c>
      <c r="E27" t="s">
        <v>15</v>
      </c>
      <c r="F27" t="s">
        <v>80</v>
      </c>
      <c r="G27">
        <v>54115</v>
      </c>
      <c r="H27">
        <v>3</v>
      </c>
      <c r="I27" s="1">
        <v>42496</v>
      </c>
      <c r="J27">
        <v>5</v>
      </c>
      <c r="K27" t="s">
        <v>17</v>
      </c>
      <c r="L27" t="s">
        <v>43</v>
      </c>
      <c r="M27" t="str">
        <f>IF(Table3[[#This Row],[Age]]&lt;30,"Young",IF(Table3[[#This Row],[Age]]&lt;=40,"Mid","Senior"))</f>
        <v>Young</v>
      </c>
      <c r="N27" t="str">
        <f>IF(Table3[[#This Row],[Experience]]&lt;3,"Junior",IF(Table3[[#This Row],[Experience]]&lt;=7,"Mid","Senior"))</f>
        <v>Mid</v>
      </c>
      <c r="O27">
        <f>YEAR(Table3[[#This Row],[Joining_Date]])</f>
        <v>2016</v>
      </c>
      <c r="P27" t="str">
        <f>IF(AND(Table3[[#This Row],[Performance]]&lt;=2,Table3[[#This Row],[Attrition]]="No"),"High Risk","Stable")</f>
        <v>Stable</v>
      </c>
    </row>
    <row r="28" spans="1:16" x14ac:dyDescent="0.25">
      <c r="A28" t="s">
        <v>81</v>
      </c>
      <c r="B28" t="s">
        <v>23</v>
      </c>
      <c r="C28" t="s">
        <v>21</v>
      </c>
      <c r="D28">
        <v>43</v>
      </c>
      <c r="E28" t="s">
        <v>15</v>
      </c>
      <c r="F28" t="s">
        <v>30</v>
      </c>
      <c r="G28">
        <v>69272</v>
      </c>
      <c r="H28">
        <v>10</v>
      </c>
      <c r="I28" s="1">
        <v>42841</v>
      </c>
      <c r="J28">
        <v>3</v>
      </c>
      <c r="K28" t="s">
        <v>17</v>
      </c>
      <c r="L28" t="s">
        <v>18</v>
      </c>
      <c r="M28" t="str">
        <f>IF(Table3[[#This Row],[Age]]&lt;30,"Young",IF(Table3[[#This Row],[Age]]&lt;=40,"Mid","Senior"))</f>
        <v>Senior</v>
      </c>
      <c r="N28" t="str">
        <f>IF(Table3[[#This Row],[Experience]]&lt;3,"Junior",IF(Table3[[#This Row],[Experience]]&lt;=7,"Mid","Senior"))</f>
        <v>Senior</v>
      </c>
      <c r="O28">
        <f>YEAR(Table3[[#This Row],[Joining_Date]])</f>
        <v>2017</v>
      </c>
      <c r="P28" t="str">
        <f>IF(AND(Table3[[#This Row],[Performance]]&lt;=2,Table3[[#This Row],[Attrition]]="No"),"High Risk","Stable")</f>
        <v>Stable</v>
      </c>
    </row>
    <row r="29" spans="1:16" x14ac:dyDescent="0.25">
      <c r="A29" t="s">
        <v>82</v>
      </c>
      <c r="B29" t="s">
        <v>54</v>
      </c>
      <c r="C29" t="s">
        <v>14</v>
      </c>
      <c r="D29">
        <v>24</v>
      </c>
      <c r="E29" t="s">
        <v>34</v>
      </c>
      <c r="F29" t="s">
        <v>41</v>
      </c>
      <c r="G29">
        <v>40508</v>
      </c>
      <c r="H29">
        <v>0</v>
      </c>
      <c r="I29" s="1">
        <v>44549</v>
      </c>
      <c r="J29">
        <v>5</v>
      </c>
      <c r="K29" t="s">
        <v>17</v>
      </c>
      <c r="L29" t="s">
        <v>31</v>
      </c>
      <c r="M29" t="str">
        <f>IF(Table3[[#This Row],[Age]]&lt;30,"Young",IF(Table3[[#This Row],[Age]]&lt;=40,"Mid","Senior"))</f>
        <v>Young</v>
      </c>
      <c r="N29" t="str">
        <f>IF(Table3[[#This Row],[Experience]]&lt;3,"Junior",IF(Table3[[#This Row],[Experience]]&lt;=7,"Mid","Senior"))</f>
        <v>Junior</v>
      </c>
      <c r="O29">
        <f>YEAR(Table3[[#This Row],[Joining_Date]])</f>
        <v>2021</v>
      </c>
      <c r="P29" t="str">
        <f>IF(AND(Table3[[#This Row],[Performance]]&lt;=2,Table3[[#This Row],[Attrition]]="No"),"High Risk","Stable")</f>
        <v>Stable</v>
      </c>
    </row>
    <row r="30" spans="1:16" x14ac:dyDescent="0.25">
      <c r="A30" t="s">
        <v>83</v>
      </c>
      <c r="B30" t="s">
        <v>48</v>
      </c>
      <c r="C30" t="s">
        <v>21</v>
      </c>
      <c r="D30">
        <v>24</v>
      </c>
      <c r="E30" t="s">
        <v>34</v>
      </c>
      <c r="F30" t="s">
        <v>41</v>
      </c>
      <c r="G30">
        <v>46554</v>
      </c>
      <c r="H30">
        <v>3</v>
      </c>
      <c r="I30" s="1">
        <v>43172</v>
      </c>
      <c r="J30">
        <v>2</v>
      </c>
      <c r="K30" t="s">
        <v>42</v>
      </c>
      <c r="L30" t="s">
        <v>43</v>
      </c>
      <c r="M30" t="str">
        <f>IF(Table3[[#This Row],[Age]]&lt;30,"Young",IF(Table3[[#This Row],[Age]]&lt;=40,"Mid","Senior"))</f>
        <v>Young</v>
      </c>
      <c r="N30" t="str">
        <f>IF(Table3[[#This Row],[Experience]]&lt;3,"Junior",IF(Table3[[#This Row],[Experience]]&lt;=7,"Mid","Senior"))</f>
        <v>Mid</v>
      </c>
      <c r="O30">
        <f>YEAR(Table3[[#This Row],[Joining_Date]])</f>
        <v>2018</v>
      </c>
      <c r="P30" t="str">
        <f>IF(AND(Table3[[#This Row],[Performance]]&lt;=2,Table3[[#This Row],[Attrition]]="No"),"High Risk","Stable")</f>
        <v>Stable</v>
      </c>
    </row>
    <row r="31" spans="1:16" x14ac:dyDescent="0.25">
      <c r="A31" t="s">
        <v>84</v>
      </c>
      <c r="B31" t="s">
        <v>63</v>
      </c>
      <c r="C31" t="s">
        <v>14</v>
      </c>
      <c r="D31">
        <v>26</v>
      </c>
      <c r="E31" t="s">
        <v>24</v>
      </c>
      <c r="F31" t="s">
        <v>25</v>
      </c>
      <c r="G31">
        <v>51391</v>
      </c>
      <c r="H31">
        <v>5</v>
      </c>
      <c r="I31" s="1">
        <v>45649</v>
      </c>
      <c r="J31">
        <v>1</v>
      </c>
      <c r="K31" t="s">
        <v>17</v>
      </c>
      <c r="L31" t="s">
        <v>36</v>
      </c>
      <c r="M31" t="str">
        <f>IF(Table3[[#This Row],[Age]]&lt;30,"Young",IF(Table3[[#This Row],[Age]]&lt;=40,"Mid","Senior"))</f>
        <v>Young</v>
      </c>
      <c r="N31" t="str">
        <f>IF(Table3[[#This Row],[Experience]]&lt;3,"Junior",IF(Table3[[#This Row],[Experience]]&lt;=7,"Mid","Senior"))</f>
        <v>Mid</v>
      </c>
      <c r="O31">
        <f>YEAR(Table3[[#This Row],[Joining_Date]])</f>
        <v>2024</v>
      </c>
      <c r="P31" t="str">
        <f>IF(AND(Table3[[#This Row],[Performance]]&lt;=2,Table3[[#This Row],[Attrition]]="No"),"High Risk","Stable")</f>
        <v>High Risk</v>
      </c>
    </row>
    <row r="32" spans="1:16" x14ac:dyDescent="0.25">
      <c r="A32" t="s">
        <v>85</v>
      </c>
      <c r="B32" t="s">
        <v>33</v>
      </c>
      <c r="C32" t="s">
        <v>21</v>
      </c>
      <c r="D32">
        <v>38</v>
      </c>
      <c r="E32" t="s">
        <v>34</v>
      </c>
      <c r="F32" t="s">
        <v>41</v>
      </c>
      <c r="G32">
        <v>74614</v>
      </c>
      <c r="H32">
        <v>15</v>
      </c>
      <c r="I32" s="1">
        <v>45713</v>
      </c>
      <c r="J32">
        <v>1</v>
      </c>
      <c r="K32" t="s">
        <v>42</v>
      </c>
      <c r="L32" t="s">
        <v>18</v>
      </c>
      <c r="M32" t="str">
        <f>IF(Table3[[#This Row],[Age]]&lt;30,"Young",IF(Table3[[#This Row],[Age]]&lt;=40,"Mid","Senior"))</f>
        <v>Mid</v>
      </c>
      <c r="N32" t="str">
        <f>IF(Table3[[#This Row],[Experience]]&lt;3,"Junior",IF(Table3[[#This Row],[Experience]]&lt;=7,"Mid","Senior"))</f>
        <v>Senior</v>
      </c>
      <c r="O32">
        <f>YEAR(Table3[[#This Row],[Joining_Date]])</f>
        <v>2025</v>
      </c>
      <c r="P32" t="str">
        <f>IF(AND(Table3[[#This Row],[Performance]]&lt;=2,Table3[[#This Row],[Attrition]]="No"),"High Risk","Stable")</f>
        <v>Stable</v>
      </c>
    </row>
    <row r="33" spans="1:16" x14ac:dyDescent="0.25">
      <c r="A33" t="s">
        <v>86</v>
      </c>
      <c r="B33" t="s">
        <v>54</v>
      </c>
      <c r="C33" t="s">
        <v>21</v>
      </c>
      <c r="D33">
        <v>26</v>
      </c>
      <c r="E33" t="s">
        <v>24</v>
      </c>
      <c r="F33" t="s">
        <v>25</v>
      </c>
      <c r="G33">
        <v>52147</v>
      </c>
      <c r="H33">
        <v>5</v>
      </c>
      <c r="I33" s="1">
        <v>45041</v>
      </c>
      <c r="J33">
        <v>4</v>
      </c>
      <c r="K33" t="s">
        <v>17</v>
      </c>
      <c r="L33" t="s">
        <v>18</v>
      </c>
      <c r="M33" t="str">
        <f>IF(Table3[[#This Row],[Age]]&lt;30,"Young",IF(Table3[[#This Row],[Age]]&lt;=40,"Mid","Senior"))</f>
        <v>Young</v>
      </c>
      <c r="N33" t="str">
        <f>IF(Table3[[#This Row],[Experience]]&lt;3,"Junior",IF(Table3[[#This Row],[Experience]]&lt;=7,"Mid","Senior"))</f>
        <v>Mid</v>
      </c>
      <c r="O33">
        <f>YEAR(Table3[[#This Row],[Joining_Date]])</f>
        <v>2023</v>
      </c>
      <c r="P33" t="str">
        <f>IF(AND(Table3[[#This Row],[Performance]]&lt;=2,Table3[[#This Row],[Attrition]]="No"),"High Risk","Stable")</f>
        <v>Stable</v>
      </c>
    </row>
    <row r="34" spans="1:16" x14ac:dyDescent="0.25">
      <c r="A34" t="s">
        <v>87</v>
      </c>
      <c r="B34" t="s">
        <v>88</v>
      </c>
      <c r="C34" t="s">
        <v>21</v>
      </c>
      <c r="D34">
        <v>39</v>
      </c>
      <c r="E34" t="s">
        <v>15</v>
      </c>
      <c r="F34" t="s">
        <v>16</v>
      </c>
      <c r="G34">
        <v>48549</v>
      </c>
      <c r="H34">
        <v>1</v>
      </c>
      <c r="I34" s="1">
        <v>44390</v>
      </c>
      <c r="J34">
        <v>5</v>
      </c>
      <c r="K34" t="s">
        <v>17</v>
      </c>
      <c r="L34" t="s">
        <v>50</v>
      </c>
      <c r="M34" t="str">
        <f>IF(Table3[[#This Row],[Age]]&lt;30,"Young",IF(Table3[[#This Row],[Age]]&lt;=40,"Mid","Senior"))</f>
        <v>Mid</v>
      </c>
      <c r="N34" t="str">
        <f>IF(Table3[[#This Row],[Experience]]&lt;3,"Junior",IF(Table3[[#This Row],[Experience]]&lt;=7,"Mid","Senior"))</f>
        <v>Junior</v>
      </c>
      <c r="O34">
        <f>YEAR(Table3[[#This Row],[Joining_Date]])</f>
        <v>2021</v>
      </c>
      <c r="P34" t="str">
        <f>IF(AND(Table3[[#This Row],[Performance]]&lt;=2,Table3[[#This Row],[Attrition]]="No"),"High Risk","Stable")</f>
        <v>Stable</v>
      </c>
    </row>
    <row r="35" spans="1:16" x14ac:dyDescent="0.25">
      <c r="A35" t="s">
        <v>89</v>
      </c>
      <c r="B35" t="s">
        <v>78</v>
      </c>
      <c r="C35" t="s">
        <v>14</v>
      </c>
      <c r="D35">
        <v>33</v>
      </c>
      <c r="E35" t="s">
        <v>15</v>
      </c>
      <c r="F35" t="s">
        <v>28</v>
      </c>
      <c r="G35">
        <v>66174</v>
      </c>
      <c r="H35">
        <v>6</v>
      </c>
      <c r="I35" s="1">
        <v>43027</v>
      </c>
      <c r="J35">
        <v>1</v>
      </c>
      <c r="K35" t="s">
        <v>42</v>
      </c>
      <c r="L35" t="s">
        <v>43</v>
      </c>
      <c r="M35" t="str">
        <f>IF(Table3[[#This Row],[Age]]&lt;30,"Young",IF(Table3[[#This Row],[Age]]&lt;=40,"Mid","Senior"))</f>
        <v>Mid</v>
      </c>
      <c r="N35" t="str">
        <f>IF(Table3[[#This Row],[Experience]]&lt;3,"Junior",IF(Table3[[#This Row],[Experience]]&lt;=7,"Mid","Senior"))</f>
        <v>Mid</v>
      </c>
      <c r="O35">
        <f>YEAR(Table3[[#This Row],[Joining_Date]])</f>
        <v>2017</v>
      </c>
      <c r="P35" t="str">
        <f>IF(AND(Table3[[#This Row],[Performance]]&lt;=2,Table3[[#This Row],[Attrition]]="No"),"High Risk","Stable")</f>
        <v>Stable</v>
      </c>
    </row>
    <row r="36" spans="1:16" x14ac:dyDescent="0.25">
      <c r="A36" t="s">
        <v>90</v>
      </c>
      <c r="B36" t="s">
        <v>91</v>
      </c>
      <c r="C36" t="s">
        <v>21</v>
      </c>
      <c r="D36">
        <v>27</v>
      </c>
      <c r="E36" t="s">
        <v>67</v>
      </c>
      <c r="F36" t="s">
        <v>68</v>
      </c>
      <c r="G36">
        <v>50406</v>
      </c>
      <c r="H36">
        <v>6</v>
      </c>
      <c r="I36" s="1">
        <v>42739</v>
      </c>
      <c r="J36">
        <v>3</v>
      </c>
      <c r="K36" t="s">
        <v>17</v>
      </c>
      <c r="L36" t="s">
        <v>18</v>
      </c>
      <c r="M36" t="str">
        <f>IF(Table3[[#This Row],[Age]]&lt;30,"Young",IF(Table3[[#This Row],[Age]]&lt;=40,"Mid","Senior"))</f>
        <v>Young</v>
      </c>
      <c r="N36" t="str">
        <f>IF(Table3[[#This Row],[Experience]]&lt;3,"Junior",IF(Table3[[#This Row],[Experience]]&lt;=7,"Mid","Senior"))</f>
        <v>Mid</v>
      </c>
      <c r="O36">
        <f>YEAR(Table3[[#This Row],[Joining_Date]])</f>
        <v>2017</v>
      </c>
      <c r="P36" t="str">
        <f>IF(AND(Table3[[#This Row],[Performance]]&lt;=2,Table3[[#This Row],[Attrition]]="No"),"High Risk","Stable")</f>
        <v>Stable</v>
      </c>
    </row>
    <row r="37" spans="1:16" x14ac:dyDescent="0.25">
      <c r="A37" t="s">
        <v>92</v>
      </c>
      <c r="B37" t="s">
        <v>63</v>
      </c>
      <c r="C37" t="s">
        <v>21</v>
      </c>
      <c r="D37">
        <v>34</v>
      </c>
      <c r="E37" t="s">
        <v>34</v>
      </c>
      <c r="F37" t="s">
        <v>41</v>
      </c>
      <c r="G37">
        <v>43211</v>
      </c>
      <c r="H37">
        <v>1</v>
      </c>
      <c r="I37" s="1">
        <v>42916</v>
      </c>
      <c r="J37">
        <v>2</v>
      </c>
      <c r="K37" t="s">
        <v>17</v>
      </c>
      <c r="L37" t="s">
        <v>36</v>
      </c>
      <c r="M37" t="str">
        <f>IF(Table3[[#This Row],[Age]]&lt;30,"Young",IF(Table3[[#This Row],[Age]]&lt;=40,"Mid","Senior"))</f>
        <v>Mid</v>
      </c>
      <c r="N37" t="str">
        <f>IF(Table3[[#This Row],[Experience]]&lt;3,"Junior",IF(Table3[[#This Row],[Experience]]&lt;=7,"Mid","Senior"))</f>
        <v>Junior</v>
      </c>
      <c r="O37">
        <f>YEAR(Table3[[#This Row],[Joining_Date]])</f>
        <v>2017</v>
      </c>
      <c r="P37" t="str">
        <f>IF(AND(Table3[[#This Row],[Performance]]&lt;=2,Table3[[#This Row],[Attrition]]="No"),"High Risk","Stable")</f>
        <v>High Risk</v>
      </c>
    </row>
    <row r="38" spans="1:16" x14ac:dyDescent="0.25">
      <c r="A38" t="s">
        <v>93</v>
      </c>
      <c r="B38" t="s">
        <v>20</v>
      </c>
      <c r="C38" t="s">
        <v>21</v>
      </c>
      <c r="D38">
        <v>34</v>
      </c>
      <c r="E38" t="s">
        <v>34</v>
      </c>
      <c r="F38" t="s">
        <v>74</v>
      </c>
      <c r="G38">
        <v>62564</v>
      </c>
      <c r="H38">
        <v>10</v>
      </c>
      <c r="I38" s="1">
        <v>45545</v>
      </c>
      <c r="J38">
        <v>1</v>
      </c>
      <c r="K38" t="s">
        <v>17</v>
      </c>
      <c r="L38" t="s">
        <v>39</v>
      </c>
      <c r="M38" t="str">
        <f>IF(Table3[[#This Row],[Age]]&lt;30,"Young",IF(Table3[[#This Row],[Age]]&lt;=40,"Mid","Senior"))</f>
        <v>Mid</v>
      </c>
      <c r="N38" t="str">
        <f>IF(Table3[[#This Row],[Experience]]&lt;3,"Junior",IF(Table3[[#This Row],[Experience]]&lt;=7,"Mid","Senior"))</f>
        <v>Senior</v>
      </c>
      <c r="O38">
        <f>YEAR(Table3[[#This Row],[Joining_Date]])</f>
        <v>2024</v>
      </c>
      <c r="P38" t="str">
        <f>IF(AND(Table3[[#This Row],[Performance]]&lt;=2,Table3[[#This Row],[Attrition]]="No"),"High Risk","Stable")</f>
        <v>High Risk</v>
      </c>
    </row>
    <row r="39" spans="1:16" x14ac:dyDescent="0.25">
      <c r="A39" t="s">
        <v>94</v>
      </c>
      <c r="B39" t="s">
        <v>63</v>
      </c>
      <c r="C39" t="s">
        <v>21</v>
      </c>
      <c r="D39">
        <v>30</v>
      </c>
      <c r="E39" t="s">
        <v>67</v>
      </c>
      <c r="F39" t="s">
        <v>76</v>
      </c>
      <c r="G39">
        <v>57012</v>
      </c>
      <c r="H39">
        <v>5</v>
      </c>
      <c r="I39" s="1">
        <v>45947</v>
      </c>
      <c r="J39">
        <v>3</v>
      </c>
      <c r="K39" t="s">
        <v>42</v>
      </c>
      <c r="L39" t="s">
        <v>43</v>
      </c>
      <c r="M39" t="str">
        <f>IF(Table3[[#This Row],[Age]]&lt;30,"Young",IF(Table3[[#This Row],[Age]]&lt;=40,"Mid","Senior"))</f>
        <v>Mid</v>
      </c>
      <c r="N39" t="str">
        <f>IF(Table3[[#This Row],[Experience]]&lt;3,"Junior",IF(Table3[[#This Row],[Experience]]&lt;=7,"Mid","Senior"))</f>
        <v>Mid</v>
      </c>
      <c r="O39">
        <f>YEAR(Table3[[#This Row],[Joining_Date]])</f>
        <v>2025</v>
      </c>
      <c r="P39" t="str">
        <f>IF(AND(Table3[[#This Row],[Performance]]&lt;=2,Table3[[#This Row],[Attrition]]="No"),"High Risk","Stable")</f>
        <v>Stable</v>
      </c>
    </row>
    <row r="40" spans="1:16" x14ac:dyDescent="0.25">
      <c r="A40" t="s">
        <v>95</v>
      </c>
      <c r="B40" t="s">
        <v>23</v>
      </c>
      <c r="C40" t="s">
        <v>14</v>
      </c>
      <c r="D40">
        <v>41</v>
      </c>
      <c r="E40" t="s">
        <v>67</v>
      </c>
      <c r="F40" t="s">
        <v>76</v>
      </c>
      <c r="G40">
        <v>48811</v>
      </c>
      <c r="H40">
        <v>3</v>
      </c>
      <c r="I40" s="1">
        <v>45689</v>
      </c>
      <c r="J40">
        <v>5</v>
      </c>
      <c r="K40" t="s">
        <v>17</v>
      </c>
      <c r="L40" t="s">
        <v>31</v>
      </c>
      <c r="M40" t="str">
        <f>IF(Table3[[#This Row],[Age]]&lt;30,"Young",IF(Table3[[#This Row],[Age]]&lt;=40,"Mid","Senior"))</f>
        <v>Senior</v>
      </c>
      <c r="N40" t="str">
        <f>IF(Table3[[#This Row],[Experience]]&lt;3,"Junior",IF(Table3[[#This Row],[Experience]]&lt;=7,"Mid","Senior"))</f>
        <v>Mid</v>
      </c>
      <c r="O40">
        <f>YEAR(Table3[[#This Row],[Joining_Date]])</f>
        <v>2025</v>
      </c>
      <c r="P40" t="str">
        <f>IF(AND(Table3[[#This Row],[Performance]]&lt;=2,Table3[[#This Row],[Attrition]]="No"),"High Risk","Stable")</f>
        <v>Stable</v>
      </c>
    </row>
    <row r="41" spans="1:16" x14ac:dyDescent="0.25">
      <c r="A41" t="s">
        <v>96</v>
      </c>
      <c r="B41" t="s">
        <v>48</v>
      </c>
      <c r="C41" t="s">
        <v>21</v>
      </c>
      <c r="D41">
        <v>35</v>
      </c>
      <c r="E41" t="s">
        <v>67</v>
      </c>
      <c r="F41" t="s">
        <v>97</v>
      </c>
      <c r="G41">
        <v>50882</v>
      </c>
      <c r="H41">
        <v>2</v>
      </c>
      <c r="I41" s="1">
        <v>45776</v>
      </c>
      <c r="J41">
        <v>3</v>
      </c>
      <c r="K41" t="s">
        <v>17</v>
      </c>
      <c r="L41" t="s">
        <v>39</v>
      </c>
      <c r="M41" t="str">
        <f>IF(Table3[[#This Row],[Age]]&lt;30,"Young",IF(Table3[[#This Row],[Age]]&lt;=40,"Mid","Senior"))</f>
        <v>Mid</v>
      </c>
      <c r="N41" t="str">
        <f>IF(Table3[[#This Row],[Experience]]&lt;3,"Junior",IF(Table3[[#This Row],[Experience]]&lt;=7,"Mid","Senior"))</f>
        <v>Junior</v>
      </c>
      <c r="O41">
        <f>YEAR(Table3[[#This Row],[Joining_Date]])</f>
        <v>2025</v>
      </c>
      <c r="P41" t="str">
        <f>IF(AND(Table3[[#This Row],[Performance]]&lt;=2,Table3[[#This Row],[Attrition]]="No"),"High Risk","Stable")</f>
        <v>Stable</v>
      </c>
    </row>
    <row r="42" spans="1:16" x14ac:dyDescent="0.25">
      <c r="A42" t="s">
        <v>98</v>
      </c>
      <c r="B42" t="s">
        <v>23</v>
      </c>
      <c r="C42" t="s">
        <v>14</v>
      </c>
      <c r="D42">
        <v>32</v>
      </c>
      <c r="E42" t="s">
        <v>15</v>
      </c>
      <c r="F42" t="s">
        <v>28</v>
      </c>
      <c r="G42">
        <v>78923</v>
      </c>
      <c r="H42">
        <v>11</v>
      </c>
      <c r="I42" s="1">
        <v>43216</v>
      </c>
      <c r="J42">
        <v>5</v>
      </c>
      <c r="K42" t="s">
        <v>17</v>
      </c>
      <c r="L42" t="s">
        <v>18</v>
      </c>
      <c r="M42" t="str">
        <f>IF(Table3[[#This Row],[Age]]&lt;30,"Young",IF(Table3[[#This Row],[Age]]&lt;=40,"Mid","Senior"))</f>
        <v>Mid</v>
      </c>
      <c r="N42" t="str">
        <f>IF(Table3[[#This Row],[Experience]]&lt;3,"Junior",IF(Table3[[#This Row],[Experience]]&lt;=7,"Mid","Senior"))</f>
        <v>Senior</v>
      </c>
      <c r="O42">
        <f>YEAR(Table3[[#This Row],[Joining_Date]])</f>
        <v>2018</v>
      </c>
      <c r="P42" t="str">
        <f>IF(AND(Table3[[#This Row],[Performance]]&lt;=2,Table3[[#This Row],[Attrition]]="No"),"High Risk","Stable")</f>
        <v>Stable</v>
      </c>
    </row>
    <row r="43" spans="1:16" x14ac:dyDescent="0.25">
      <c r="A43" t="s">
        <v>99</v>
      </c>
      <c r="B43" t="s">
        <v>45</v>
      </c>
      <c r="C43" t="s">
        <v>14</v>
      </c>
      <c r="D43">
        <v>39</v>
      </c>
      <c r="E43" t="s">
        <v>67</v>
      </c>
      <c r="F43" t="s">
        <v>68</v>
      </c>
      <c r="G43">
        <v>39978</v>
      </c>
      <c r="H43">
        <v>0</v>
      </c>
      <c r="I43" s="1">
        <v>43180</v>
      </c>
      <c r="J43">
        <v>2</v>
      </c>
      <c r="K43" t="s">
        <v>42</v>
      </c>
      <c r="L43" t="s">
        <v>43</v>
      </c>
      <c r="M43" t="str">
        <f>IF(Table3[[#This Row],[Age]]&lt;30,"Young",IF(Table3[[#This Row],[Age]]&lt;=40,"Mid","Senior"))</f>
        <v>Mid</v>
      </c>
      <c r="N43" t="str">
        <f>IF(Table3[[#This Row],[Experience]]&lt;3,"Junior",IF(Table3[[#This Row],[Experience]]&lt;=7,"Mid","Senior"))</f>
        <v>Junior</v>
      </c>
      <c r="O43">
        <f>YEAR(Table3[[#This Row],[Joining_Date]])</f>
        <v>2018</v>
      </c>
      <c r="P43" t="str">
        <f>IF(AND(Table3[[#This Row],[Performance]]&lt;=2,Table3[[#This Row],[Attrition]]="No"),"High Risk","Stable")</f>
        <v>Stable</v>
      </c>
    </row>
    <row r="44" spans="1:16" x14ac:dyDescent="0.25">
      <c r="A44" t="s">
        <v>100</v>
      </c>
      <c r="B44" t="s">
        <v>101</v>
      </c>
      <c r="C44" t="s">
        <v>14</v>
      </c>
      <c r="D44">
        <v>43</v>
      </c>
      <c r="E44" t="s">
        <v>24</v>
      </c>
      <c r="F44" t="s">
        <v>49</v>
      </c>
      <c r="G44">
        <v>60375</v>
      </c>
      <c r="H44">
        <v>6</v>
      </c>
      <c r="I44" s="1">
        <v>43943</v>
      </c>
      <c r="J44">
        <v>2</v>
      </c>
      <c r="K44" t="s">
        <v>17</v>
      </c>
      <c r="L44" t="s">
        <v>39</v>
      </c>
      <c r="M44" t="str">
        <f>IF(Table3[[#This Row],[Age]]&lt;30,"Young",IF(Table3[[#This Row],[Age]]&lt;=40,"Mid","Senior"))</f>
        <v>Senior</v>
      </c>
      <c r="N44" t="str">
        <f>IF(Table3[[#This Row],[Experience]]&lt;3,"Junior",IF(Table3[[#This Row],[Experience]]&lt;=7,"Mid","Senior"))</f>
        <v>Mid</v>
      </c>
      <c r="O44">
        <f>YEAR(Table3[[#This Row],[Joining_Date]])</f>
        <v>2020</v>
      </c>
      <c r="P44" t="str">
        <f>IF(AND(Table3[[#This Row],[Performance]]&lt;=2,Table3[[#This Row],[Attrition]]="No"),"High Risk","Stable")</f>
        <v>High Risk</v>
      </c>
    </row>
    <row r="45" spans="1:16" x14ac:dyDescent="0.25">
      <c r="A45" t="s">
        <v>102</v>
      </c>
      <c r="B45" t="s">
        <v>56</v>
      </c>
      <c r="C45" t="s">
        <v>21</v>
      </c>
      <c r="D45">
        <v>29</v>
      </c>
      <c r="E45" t="s">
        <v>24</v>
      </c>
      <c r="F45" t="s">
        <v>25</v>
      </c>
      <c r="G45">
        <v>54414</v>
      </c>
      <c r="H45">
        <v>6</v>
      </c>
      <c r="I45" s="1">
        <v>42105</v>
      </c>
      <c r="J45">
        <v>1</v>
      </c>
      <c r="K45" t="s">
        <v>42</v>
      </c>
      <c r="L45" t="s">
        <v>18</v>
      </c>
      <c r="M45" t="str">
        <f>IF(Table3[[#This Row],[Age]]&lt;30,"Young",IF(Table3[[#This Row],[Age]]&lt;=40,"Mid","Senior"))</f>
        <v>Young</v>
      </c>
      <c r="N45" t="str">
        <f>IF(Table3[[#This Row],[Experience]]&lt;3,"Junior",IF(Table3[[#This Row],[Experience]]&lt;=7,"Mid","Senior"))</f>
        <v>Mid</v>
      </c>
      <c r="O45">
        <f>YEAR(Table3[[#This Row],[Joining_Date]])</f>
        <v>2015</v>
      </c>
      <c r="P45" t="str">
        <f>IF(AND(Table3[[#This Row],[Performance]]&lt;=2,Table3[[#This Row],[Attrition]]="No"),"High Risk","Stable")</f>
        <v>Stable</v>
      </c>
    </row>
    <row r="46" spans="1:16" x14ac:dyDescent="0.25">
      <c r="A46" t="s">
        <v>103</v>
      </c>
      <c r="B46" t="s">
        <v>66</v>
      </c>
      <c r="C46" t="s">
        <v>14</v>
      </c>
      <c r="D46">
        <v>28</v>
      </c>
      <c r="E46" t="s">
        <v>15</v>
      </c>
      <c r="F46" t="s">
        <v>71</v>
      </c>
      <c r="G46">
        <v>65599</v>
      </c>
      <c r="H46">
        <v>7</v>
      </c>
      <c r="I46" s="1">
        <v>43641</v>
      </c>
      <c r="J46">
        <v>2</v>
      </c>
      <c r="K46" t="s">
        <v>42</v>
      </c>
      <c r="L46" t="s">
        <v>39</v>
      </c>
      <c r="M46" t="str">
        <f>IF(Table3[[#This Row],[Age]]&lt;30,"Young",IF(Table3[[#This Row],[Age]]&lt;=40,"Mid","Senior"))</f>
        <v>Young</v>
      </c>
      <c r="N46" t="str">
        <f>IF(Table3[[#This Row],[Experience]]&lt;3,"Junior",IF(Table3[[#This Row],[Experience]]&lt;=7,"Mid","Senior"))</f>
        <v>Mid</v>
      </c>
      <c r="O46">
        <f>YEAR(Table3[[#This Row],[Joining_Date]])</f>
        <v>2019</v>
      </c>
      <c r="P46" t="str">
        <f>IF(AND(Table3[[#This Row],[Performance]]&lt;=2,Table3[[#This Row],[Attrition]]="No"),"High Risk","Stable")</f>
        <v>Stable</v>
      </c>
    </row>
    <row r="47" spans="1:16" x14ac:dyDescent="0.25">
      <c r="A47" t="s">
        <v>104</v>
      </c>
      <c r="B47" t="s">
        <v>13</v>
      </c>
      <c r="C47" t="s">
        <v>14</v>
      </c>
      <c r="D47">
        <v>27</v>
      </c>
      <c r="E47" t="s">
        <v>15</v>
      </c>
      <c r="F47" t="s">
        <v>16</v>
      </c>
      <c r="G47">
        <v>55822</v>
      </c>
      <c r="H47">
        <v>6</v>
      </c>
      <c r="I47" s="1">
        <v>44288</v>
      </c>
      <c r="J47">
        <v>2</v>
      </c>
      <c r="K47" t="s">
        <v>17</v>
      </c>
      <c r="L47" t="s">
        <v>50</v>
      </c>
      <c r="M47" t="str">
        <f>IF(Table3[[#This Row],[Age]]&lt;30,"Young",IF(Table3[[#This Row],[Age]]&lt;=40,"Mid","Senior"))</f>
        <v>Young</v>
      </c>
      <c r="N47" t="str">
        <f>IF(Table3[[#This Row],[Experience]]&lt;3,"Junior",IF(Table3[[#This Row],[Experience]]&lt;=7,"Mid","Senior"))</f>
        <v>Mid</v>
      </c>
      <c r="O47">
        <f>YEAR(Table3[[#This Row],[Joining_Date]])</f>
        <v>2021</v>
      </c>
      <c r="P47" t="str">
        <f>IF(AND(Table3[[#This Row],[Performance]]&lt;=2,Table3[[#This Row],[Attrition]]="No"),"High Risk","Stable")</f>
        <v>High Risk</v>
      </c>
    </row>
    <row r="48" spans="1:16" x14ac:dyDescent="0.25">
      <c r="A48" t="s">
        <v>105</v>
      </c>
      <c r="B48" t="s">
        <v>27</v>
      </c>
      <c r="C48" t="s">
        <v>14</v>
      </c>
      <c r="D48">
        <v>45</v>
      </c>
      <c r="E48" t="s">
        <v>67</v>
      </c>
      <c r="F48" t="s">
        <v>76</v>
      </c>
      <c r="G48">
        <v>76476</v>
      </c>
      <c r="H48">
        <v>13</v>
      </c>
      <c r="I48" s="1">
        <v>43831</v>
      </c>
      <c r="J48">
        <v>2</v>
      </c>
      <c r="K48" t="s">
        <v>17</v>
      </c>
      <c r="L48" t="s">
        <v>36</v>
      </c>
      <c r="M48" t="str">
        <f>IF(Table3[[#This Row],[Age]]&lt;30,"Young",IF(Table3[[#This Row],[Age]]&lt;=40,"Mid","Senior"))</f>
        <v>Senior</v>
      </c>
      <c r="N48" t="str">
        <f>IF(Table3[[#This Row],[Experience]]&lt;3,"Junior",IF(Table3[[#This Row],[Experience]]&lt;=7,"Mid","Senior"))</f>
        <v>Senior</v>
      </c>
      <c r="O48">
        <f>YEAR(Table3[[#This Row],[Joining_Date]])</f>
        <v>2020</v>
      </c>
      <c r="P48" t="str">
        <f>IF(AND(Table3[[#This Row],[Performance]]&lt;=2,Table3[[#This Row],[Attrition]]="No"),"High Risk","Stable")</f>
        <v>High Risk</v>
      </c>
    </row>
    <row r="49" spans="1:16" x14ac:dyDescent="0.25">
      <c r="A49" t="s">
        <v>106</v>
      </c>
      <c r="B49" t="s">
        <v>13</v>
      </c>
      <c r="C49" t="s">
        <v>14</v>
      </c>
      <c r="D49">
        <v>30</v>
      </c>
      <c r="E49" t="s">
        <v>34</v>
      </c>
      <c r="F49" t="s">
        <v>41</v>
      </c>
      <c r="G49">
        <v>56769</v>
      </c>
      <c r="H49">
        <v>9</v>
      </c>
      <c r="I49" s="1">
        <v>44927</v>
      </c>
      <c r="J49">
        <v>3</v>
      </c>
      <c r="K49" t="s">
        <v>17</v>
      </c>
      <c r="L49" t="s">
        <v>36</v>
      </c>
      <c r="M49" t="str">
        <f>IF(Table3[[#This Row],[Age]]&lt;30,"Young",IF(Table3[[#This Row],[Age]]&lt;=40,"Mid","Senior"))</f>
        <v>Mid</v>
      </c>
      <c r="N49" t="str">
        <f>IF(Table3[[#This Row],[Experience]]&lt;3,"Junior",IF(Table3[[#This Row],[Experience]]&lt;=7,"Mid","Senior"))</f>
        <v>Senior</v>
      </c>
      <c r="O49">
        <f>YEAR(Table3[[#This Row],[Joining_Date]])</f>
        <v>2023</v>
      </c>
      <c r="P49" t="str">
        <f>IF(AND(Table3[[#This Row],[Performance]]&lt;=2,Table3[[#This Row],[Attrition]]="No"),"High Risk","Stable")</f>
        <v>Stable</v>
      </c>
    </row>
    <row r="50" spans="1:16" x14ac:dyDescent="0.25">
      <c r="A50" t="s">
        <v>107</v>
      </c>
      <c r="B50" t="s">
        <v>88</v>
      </c>
      <c r="C50" t="s">
        <v>21</v>
      </c>
      <c r="D50">
        <v>29</v>
      </c>
      <c r="E50" t="s">
        <v>24</v>
      </c>
      <c r="F50" t="s">
        <v>25</v>
      </c>
      <c r="G50">
        <v>68369</v>
      </c>
      <c r="H50">
        <v>8</v>
      </c>
      <c r="I50" s="1">
        <v>42630</v>
      </c>
      <c r="J50">
        <v>2</v>
      </c>
      <c r="K50" t="s">
        <v>42</v>
      </c>
      <c r="L50" t="s">
        <v>18</v>
      </c>
      <c r="M50" t="str">
        <f>IF(Table3[[#This Row],[Age]]&lt;30,"Young",IF(Table3[[#This Row],[Age]]&lt;=40,"Mid","Senior"))</f>
        <v>Young</v>
      </c>
      <c r="N50" t="str">
        <f>IF(Table3[[#This Row],[Experience]]&lt;3,"Junior",IF(Table3[[#This Row],[Experience]]&lt;=7,"Mid","Senior"))</f>
        <v>Senior</v>
      </c>
      <c r="O50">
        <f>YEAR(Table3[[#This Row],[Joining_Date]])</f>
        <v>2016</v>
      </c>
      <c r="P50" t="str">
        <f>IF(AND(Table3[[#This Row],[Performance]]&lt;=2,Table3[[#This Row],[Attrition]]="No"),"High Risk","Stable")</f>
        <v>Stable</v>
      </c>
    </row>
    <row r="51" spans="1:16" x14ac:dyDescent="0.25">
      <c r="A51" t="s">
        <v>108</v>
      </c>
      <c r="B51" t="s">
        <v>78</v>
      </c>
      <c r="C51" t="s">
        <v>14</v>
      </c>
      <c r="D51">
        <v>28</v>
      </c>
      <c r="E51" t="s">
        <v>24</v>
      </c>
      <c r="F51" t="s">
        <v>49</v>
      </c>
      <c r="G51">
        <v>60881</v>
      </c>
      <c r="H51">
        <v>7</v>
      </c>
      <c r="I51" s="1">
        <v>45711</v>
      </c>
      <c r="J51">
        <v>5</v>
      </c>
      <c r="K51" t="s">
        <v>17</v>
      </c>
      <c r="L51" t="s">
        <v>31</v>
      </c>
      <c r="M51" t="str">
        <f>IF(Table3[[#This Row],[Age]]&lt;30,"Young",IF(Table3[[#This Row],[Age]]&lt;=40,"Mid","Senior"))</f>
        <v>Young</v>
      </c>
      <c r="N51" t="str">
        <f>IF(Table3[[#This Row],[Experience]]&lt;3,"Junior",IF(Table3[[#This Row],[Experience]]&lt;=7,"Mid","Senior"))</f>
        <v>Mid</v>
      </c>
      <c r="O51">
        <f>YEAR(Table3[[#This Row],[Joining_Date]])</f>
        <v>2025</v>
      </c>
      <c r="P51" t="str">
        <f>IF(AND(Table3[[#This Row],[Performance]]&lt;=2,Table3[[#This Row],[Attrition]]="No"),"High Risk","Stable")</f>
        <v>Stable</v>
      </c>
    </row>
    <row r="52" spans="1:16" x14ac:dyDescent="0.25">
      <c r="A52" t="s">
        <v>109</v>
      </c>
      <c r="B52" t="s">
        <v>48</v>
      </c>
      <c r="C52" t="s">
        <v>21</v>
      </c>
      <c r="D52">
        <v>31</v>
      </c>
      <c r="E52" t="s">
        <v>67</v>
      </c>
      <c r="F52" t="s">
        <v>110</v>
      </c>
      <c r="G52">
        <v>66865</v>
      </c>
      <c r="H52">
        <v>10</v>
      </c>
      <c r="I52" s="1">
        <v>44209</v>
      </c>
      <c r="J52">
        <v>5</v>
      </c>
      <c r="K52" t="s">
        <v>17</v>
      </c>
      <c r="L52" t="s">
        <v>50</v>
      </c>
      <c r="M52" t="str">
        <f>IF(Table3[[#This Row],[Age]]&lt;30,"Young",IF(Table3[[#This Row],[Age]]&lt;=40,"Mid","Senior"))</f>
        <v>Mid</v>
      </c>
      <c r="N52" t="str">
        <f>IF(Table3[[#This Row],[Experience]]&lt;3,"Junior",IF(Table3[[#This Row],[Experience]]&lt;=7,"Mid","Senior"))</f>
        <v>Senior</v>
      </c>
      <c r="O52">
        <f>YEAR(Table3[[#This Row],[Joining_Date]])</f>
        <v>2021</v>
      </c>
      <c r="P52" t="str">
        <f>IF(AND(Table3[[#This Row],[Performance]]&lt;=2,Table3[[#This Row],[Attrition]]="No"),"High Risk","Stable")</f>
        <v>Stable</v>
      </c>
    </row>
    <row r="53" spans="1:16" x14ac:dyDescent="0.25">
      <c r="A53" t="s">
        <v>111</v>
      </c>
      <c r="B53" t="s">
        <v>23</v>
      </c>
      <c r="C53" t="s">
        <v>14</v>
      </c>
      <c r="D53">
        <v>37</v>
      </c>
      <c r="E53" t="s">
        <v>67</v>
      </c>
      <c r="F53" t="s">
        <v>68</v>
      </c>
      <c r="G53">
        <v>41371</v>
      </c>
      <c r="H53">
        <v>0</v>
      </c>
      <c r="I53" s="1">
        <v>43381</v>
      </c>
      <c r="J53">
        <v>4</v>
      </c>
      <c r="K53" t="s">
        <v>17</v>
      </c>
      <c r="L53" t="s">
        <v>18</v>
      </c>
      <c r="M53" t="str">
        <f>IF(Table3[[#This Row],[Age]]&lt;30,"Young",IF(Table3[[#This Row],[Age]]&lt;=40,"Mid","Senior"))</f>
        <v>Mid</v>
      </c>
      <c r="N53" t="str">
        <f>IF(Table3[[#This Row],[Experience]]&lt;3,"Junior",IF(Table3[[#This Row],[Experience]]&lt;=7,"Mid","Senior"))</f>
        <v>Junior</v>
      </c>
      <c r="O53">
        <f>YEAR(Table3[[#This Row],[Joining_Date]])</f>
        <v>2018</v>
      </c>
      <c r="P53" t="str">
        <f>IF(AND(Table3[[#This Row],[Performance]]&lt;=2,Table3[[#This Row],[Attrition]]="No"),"High Risk","Stable")</f>
        <v>Stable</v>
      </c>
    </row>
    <row r="54" spans="1:16" x14ac:dyDescent="0.25">
      <c r="A54" t="s">
        <v>112</v>
      </c>
      <c r="B54" t="s">
        <v>66</v>
      </c>
      <c r="C54" t="s">
        <v>14</v>
      </c>
      <c r="D54">
        <v>40</v>
      </c>
      <c r="E54" t="s">
        <v>34</v>
      </c>
      <c r="F54" t="s">
        <v>35</v>
      </c>
      <c r="G54">
        <v>34375</v>
      </c>
      <c r="H54">
        <v>0</v>
      </c>
      <c r="I54" s="1">
        <v>44637</v>
      </c>
      <c r="J54">
        <v>4</v>
      </c>
      <c r="K54" t="s">
        <v>17</v>
      </c>
      <c r="L54" t="s">
        <v>18</v>
      </c>
      <c r="M54" t="str">
        <f>IF(Table3[[#This Row],[Age]]&lt;30,"Young",IF(Table3[[#This Row],[Age]]&lt;=40,"Mid","Senior"))</f>
        <v>Mid</v>
      </c>
      <c r="N54" t="str">
        <f>IF(Table3[[#This Row],[Experience]]&lt;3,"Junior",IF(Table3[[#This Row],[Experience]]&lt;=7,"Mid","Senior"))</f>
        <v>Junior</v>
      </c>
      <c r="O54">
        <f>YEAR(Table3[[#This Row],[Joining_Date]])</f>
        <v>2022</v>
      </c>
      <c r="P54" t="str">
        <f>IF(AND(Table3[[#This Row],[Performance]]&lt;=2,Table3[[#This Row],[Attrition]]="No"),"High Risk","Stable")</f>
        <v>Stable</v>
      </c>
    </row>
    <row r="55" spans="1:16" x14ac:dyDescent="0.25">
      <c r="A55" t="s">
        <v>113</v>
      </c>
      <c r="B55" t="s">
        <v>45</v>
      </c>
      <c r="C55" t="s">
        <v>14</v>
      </c>
      <c r="D55">
        <v>32</v>
      </c>
      <c r="E55" t="s">
        <v>34</v>
      </c>
      <c r="F55" t="s">
        <v>35</v>
      </c>
      <c r="G55">
        <v>55449</v>
      </c>
      <c r="H55">
        <v>6</v>
      </c>
      <c r="I55" s="1">
        <v>43343</v>
      </c>
      <c r="J55">
        <v>3</v>
      </c>
      <c r="K55" t="s">
        <v>17</v>
      </c>
      <c r="L55" t="s">
        <v>18</v>
      </c>
      <c r="M55" t="str">
        <f>IF(Table3[[#This Row],[Age]]&lt;30,"Young",IF(Table3[[#This Row],[Age]]&lt;=40,"Mid","Senior"))</f>
        <v>Mid</v>
      </c>
      <c r="N55" t="str">
        <f>IF(Table3[[#This Row],[Experience]]&lt;3,"Junior",IF(Table3[[#This Row],[Experience]]&lt;=7,"Mid","Senior"))</f>
        <v>Mid</v>
      </c>
      <c r="O55">
        <f>YEAR(Table3[[#This Row],[Joining_Date]])</f>
        <v>2018</v>
      </c>
      <c r="P55" t="str">
        <f>IF(AND(Table3[[#This Row],[Performance]]&lt;=2,Table3[[#This Row],[Attrition]]="No"),"High Risk","Stable")</f>
        <v>Stable</v>
      </c>
    </row>
    <row r="56" spans="1:16" x14ac:dyDescent="0.25">
      <c r="A56" t="s">
        <v>114</v>
      </c>
      <c r="B56" t="s">
        <v>60</v>
      </c>
      <c r="C56" t="s">
        <v>14</v>
      </c>
      <c r="D56">
        <v>37</v>
      </c>
      <c r="E56" t="s">
        <v>24</v>
      </c>
      <c r="F56" t="s">
        <v>49</v>
      </c>
      <c r="G56">
        <v>49272</v>
      </c>
      <c r="H56">
        <v>0</v>
      </c>
      <c r="I56" s="1">
        <v>44214</v>
      </c>
      <c r="J56">
        <v>1</v>
      </c>
      <c r="K56" t="s">
        <v>17</v>
      </c>
      <c r="L56" t="s">
        <v>39</v>
      </c>
      <c r="M56" t="str">
        <f>IF(Table3[[#This Row],[Age]]&lt;30,"Young",IF(Table3[[#This Row],[Age]]&lt;=40,"Mid","Senior"))</f>
        <v>Mid</v>
      </c>
      <c r="N56" t="str">
        <f>IF(Table3[[#This Row],[Experience]]&lt;3,"Junior",IF(Table3[[#This Row],[Experience]]&lt;=7,"Mid","Senior"))</f>
        <v>Junior</v>
      </c>
      <c r="O56">
        <f>YEAR(Table3[[#This Row],[Joining_Date]])</f>
        <v>2021</v>
      </c>
      <c r="P56" t="str">
        <f>IF(AND(Table3[[#This Row],[Performance]]&lt;=2,Table3[[#This Row],[Attrition]]="No"),"High Risk","Stable")</f>
        <v>High Risk</v>
      </c>
    </row>
    <row r="57" spans="1:16" x14ac:dyDescent="0.25">
      <c r="A57" t="s">
        <v>115</v>
      </c>
      <c r="B57" t="s">
        <v>13</v>
      </c>
      <c r="C57" t="s">
        <v>21</v>
      </c>
      <c r="D57">
        <v>28</v>
      </c>
      <c r="E57" t="s">
        <v>15</v>
      </c>
      <c r="F57" t="s">
        <v>16</v>
      </c>
      <c r="G57">
        <v>50179</v>
      </c>
      <c r="H57">
        <v>0</v>
      </c>
      <c r="I57" s="1">
        <v>42629</v>
      </c>
      <c r="J57">
        <v>2</v>
      </c>
      <c r="K57" t="s">
        <v>42</v>
      </c>
      <c r="L57" t="s">
        <v>39</v>
      </c>
      <c r="M57" t="str">
        <f>IF(Table3[[#This Row],[Age]]&lt;30,"Young",IF(Table3[[#This Row],[Age]]&lt;=40,"Mid","Senior"))</f>
        <v>Young</v>
      </c>
      <c r="N57" t="str">
        <f>IF(Table3[[#This Row],[Experience]]&lt;3,"Junior",IF(Table3[[#This Row],[Experience]]&lt;=7,"Mid","Senior"))</f>
        <v>Junior</v>
      </c>
      <c r="O57">
        <f>YEAR(Table3[[#This Row],[Joining_Date]])</f>
        <v>2016</v>
      </c>
      <c r="P57" t="str">
        <f>IF(AND(Table3[[#This Row],[Performance]]&lt;=2,Table3[[#This Row],[Attrition]]="No"),"High Risk","Stable")</f>
        <v>Stable</v>
      </c>
    </row>
    <row r="58" spans="1:16" x14ac:dyDescent="0.25">
      <c r="A58" t="s">
        <v>116</v>
      </c>
      <c r="B58" t="s">
        <v>101</v>
      </c>
      <c r="C58" t="s">
        <v>21</v>
      </c>
      <c r="D58">
        <v>44</v>
      </c>
      <c r="E58" t="s">
        <v>15</v>
      </c>
      <c r="F58" t="s">
        <v>30</v>
      </c>
      <c r="G58">
        <v>72564</v>
      </c>
      <c r="H58">
        <v>8</v>
      </c>
      <c r="I58" s="1">
        <v>43515</v>
      </c>
      <c r="J58">
        <v>2</v>
      </c>
      <c r="K58" t="s">
        <v>17</v>
      </c>
      <c r="L58" t="s">
        <v>39</v>
      </c>
      <c r="M58" t="str">
        <f>IF(Table3[[#This Row],[Age]]&lt;30,"Young",IF(Table3[[#This Row],[Age]]&lt;=40,"Mid","Senior"))</f>
        <v>Senior</v>
      </c>
      <c r="N58" t="str">
        <f>IF(Table3[[#This Row],[Experience]]&lt;3,"Junior",IF(Table3[[#This Row],[Experience]]&lt;=7,"Mid","Senior"))</f>
        <v>Senior</v>
      </c>
      <c r="O58">
        <f>YEAR(Table3[[#This Row],[Joining_Date]])</f>
        <v>2019</v>
      </c>
      <c r="P58" t="str">
        <f>IF(AND(Table3[[#This Row],[Performance]]&lt;=2,Table3[[#This Row],[Attrition]]="No"),"High Risk","Stable")</f>
        <v>High Risk</v>
      </c>
    </row>
    <row r="59" spans="1:16" x14ac:dyDescent="0.25">
      <c r="A59" t="s">
        <v>117</v>
      </c>
      <c r="B59" t="s">
        <v>63</v>
      </c>
      <c r="C59" t="s">
        <v>14</v>
      </c>
      <c r="D59">
        <v>40</v>
      </c>
      <c r="E59" t="s">
        <v>15</v>
      </c>
      <c r="F59" t="s">
        <v>80</v>
      </c>
      <c r="G59">
        <v>45111</v>
      </c>
      <c r="H59">
        <v>0</v>
      </c>
      <c r="I59" s="1">
        <v>44363</v>
      </c>
      <c r="J59">
        <v>4</v>
      </c>
      <c r="K59" t="s">
        <v>17</v>
      </c>
      <c r="L59" t="s">
        <v>39</v>
      </c>
      <c r="M59" t="str">
        <f>IF(Table3[[#This Row],[Age]]&lt;30,"Young",IF(Table3[[#This Row],[Age]]&lt;=40,"Mid","Senior"))</f>
        <v>Mid</v>
      </c>
      <c r="N59" t="str">
        <f>IF(Table3[[#This Row],[Experience]]&lt;3,"Junior",IF(Table3[[#This Row],[Experience]]&lt;=7,"Mid","Senior"))</f>
        <v>Junior</v>
      </c>
      <c r="O59">
        <f>YEAR(Table3[[#This Row],[Joining_Date]])</f>
        <v>2021</v>
      </c>
      <c r="P59" t="str">
        <f>IF(AND(Table3[[#This Row],[Performance]]&lt;=2,Table3[[#This Row],[Attrition]]="No"),"High Risk","Stable")</f>
        <v>Stable</v>
      </c>
    </row>
    <row r="60" spans="1:16" x14ac:dyDescent="0.25">
      <c r="A60" t="s">
        <v>118</v>
      </c>
      <c r="B60" t="s">
        <v>63</v>
      </c>
      <c r="C60" t="s">
        <v>21</v>
      </c>
      <c r="D60">
        <v>44</v>
      </c>
      <c r="E60" t="s">
        <v>34</v>
      </c>
      <c r="F60" t="s">
        <v>35</v>
      </c>
      <c r="G60">
        <v>66710</v>
      </c>
      <c r="H60">
        <v>9</v>
      </c>
      <c r="I60" s="1">
        <v>44464</v>
      </c>
      <c r="J60">
        <v>1</v>
      </c>
      <c r="K60" t="s">
        <v>17</v>
      </c>
      <c r="L60" t="s">
        <v>31</v>
      </c>
      <c r="M60" t="str">
        <f>IF(Table3[[#This Row],[Age]]&lt;30,"Young",IF(Table3[[#This Row],[Age]]&lt;=40,"Mid","Senior"))</f>
        <v>Senior</v>
      </c>
      <c r="N60" t="str">
        <f>IF(Table3[[#This Row],[Experience]]&lt;3,"Junior",IF(Table3[[#This Row],[Experience]]&lt;=7,"Mid","Senior"))</f>
        <v>Senior</v>
      </c>
      <c r="O60">
        <f>YEAR(Table3[[#This Row],[Joining_Date]])</f>
        <v>2021</v>
      </c>
      <c r="P60" t="str">
        <f>IF(AND(Table3[[#This Row],[Performance]]&lt;=2,Table3[[#This Row],[Attrition]]="No"),"High Risk","Stable")</f>
        <v>High Risk</v>
      </c>
    </row>
    <row r="61" spans="1:16" x14ac:dyDescent="0.25">
      <c r="A61" t="s">
        <v>119</v>
      </c>
      <c r="B61" t="s">
        <v>60</v>
      </c>
      <c r="C61" t="s">
        <v>14</v>
      </c>
      <c r="D61">
        <v>38</v>
      </c>
      <c r="E61" t="s">
        <v>24</v>
      </c>
      <c r="F61" t="s">
        <v>49</v>
      </c>
      <c r="G61">
        <v>62207</v>
      </c>
      <c r="H61">
        <v>10</v>
      </c>
      <c r="I61" s="1">
        <v>45484</v>
      </c>
      <c r="J61">
        <v>4</v>
      </c>
      <c r="K61" t="s">
        <v>17</v>
      </c>
      <c r="L61" t="s">
        <v>31</v>
      </c>
      <c r="M61" t="str">
        <f>IF(Table3[[#This Row],[Age]]&lt;30,"Young",IF(Table3[[#This Row],[Age]]&lt;=40,"Mid","Senior"))</f>
        <v>Mid</v>
      </c>
      <c r="N61" t="str">
        <f>IF(Table3[[#This Row],[Experience]]&lt;3,"Junior",IF(Table3[[#This Row],[Experience]]&lt;=7,"Mid","Senior"))</f>
        <v>Senior</v>
      </c>
      <c r="O61">
        <f>YEAR(Table3[[#This Row],[Joining_Date]])</f>
        <v>2024</v>
      </c>
      <c r="P61" t="str">
        <f>IF(AND(Table3[[#This Row],[Performance]]&lt;=2,Table3[[#This Row],[Attrition]]="No"),"High Risk","Stable")</f>
        <v>Stable</v>
      </c>
    </row>
    <row r="62" spans="1:16" x14ac:dyDescent="0.25">
      <c r="A62" t="s">
        <v>120</v>
      </c>
      <c r="B62" t="s">
        <v>88</v>
      </c>
      <c r="C62" t="s">
        <v>14</v>
      </c>
      <c r="D62">
        <v>35</v>
      </c>
      <c r="E62" t="s">
        <v>67</v>
      </c>
      <c r="F62" t="s">
        <v>76</v>
      </c>
      <c r="G62">
        <v>59522</v>
      </c>
      <c r="H62">
        <v>5</v>
      </c>
      <c r="I62" s="1">
        <v>44142</v>
      </c>
      <c r="J62">
        <v>3</v>
      </c>
      <c r="K62" t="s">
        <v>17</v>
      </c>
      <c r="L62" t="s">
        <v>43</v>
      </c>
      <c r="M62" t="str">
        <f>IF(Table3[[#This Row],[Age]]&lt;30,"Young",IF(Table3[[#This Row],[Age]]&lt;=40,"Mid","Senior"))</f>
        <v>Mid</v>
      </c>
      <c r="N62" t="str">
        <f>IF(Table3[[#This Row],[Experience]]&lt;3,"Junior",IF(Table3[[#This Row],[Experience]]&lt;=7,"Mid","Senior"))</f>
        <v>Mid</v>
      </c>
      <c r="O62">
        <f>YEAR(Table3[[#This Row],[Joining_Date]])</f>
        <v>2020</v>
      </c>
      <c r="P62" t="str">
        <f>IF(AND(Table3[[#This Row],[Performance]]&lt;=2,Table3[[#This Row],[Attrition]]="No"),"High Risk","Stable")</f>
        <v>Stable</v>
      </c>
    </row>
    <row r="63" spans="1:16" x14ac:dyDescent="0.25">
      <c r="A63" t="s">
        <v>121</v>
      </c>
      <c r="B63" t="s">
        <v>66</v>
      </c>
      <c r="C63" t="s">
        <v>14</v>
      </c>
      <c r="D63">
        <v>30</v>
      </c>
      <c r="E63" t="s">
        <v>67</v>
      </c>
      <c r="F63" t="s">
        <v>110</v>
      </c>
      <c r="G63">
        <v>61522</v>
      </c>
      <c r="H63">
        <v>9</v>
      </c>
      <c r="I63" s="1">
        <v>45407</v>
      </c>
      <c r="J63">
        <v>1</v>
      </c>
      <c r="K63" t="s">
        <v>42</v>
      </c>
      <c r="L63" t="s">
        <v>18</v>
      </c>
      <c r="M63" t="str">
        <f>IF(Table3[[#This Row],[Age]]&lt;30,"Young",IF(Table3[[#This Row],[Age]]&lt;=40,"Mid","Senior"))</f>
        <v>Mid</v>
      </c>
      <c r="N63" t="str">
        <f>IF(Table3[[#This Row],[Experience]]&lt;3,"Junior",IF(Table3[[#This Row],[Experience]]&lt;=7,"Mid","Senior"))</f>
        <v>Senior</v>
      </c>
      <c r="O63">
        <f>YEAR(Table3[[#This Row],[Joining_Date]])</f>
        <v>2024</v>
      </c>
      <c r="P63" t="str">
        <f>IF(AND(Table3[[#This Row],[Performance]]&lt;=2,Table3[[#This Row],[Attrition]]="No"),"High Risk","Stable")</f>
        <v>Stable</v>
      </c>
    </row>
    <row r="64" spans="1:16" x14ac:dyDescent="0.25">
      <c r="A64" t="s">
        <v>122</v>
      </c>
      <c r="B64" t="s">
        <v>54</v>
      </c>
      <c r="C64" t="s">
        <v>14</v>
      </c>
      <c r="D64">
        <v>22</v>
      </c>
      <c r="E64" t="s">
        <v>34</v>
      </c>
      <c r="F64" t="s">
        <v>52</v>
      </c>
      <c r="G64">
        <v>40825</v>
      </c>
      <c r="H64">
        <v>1</v>
      </c>
      <c r="I64" s="1">
        <v>42749</v>
      </c>
      <c r="J64">
        <v>4</v>
      </c>
      <c r="K64" t="s">
        <v>17</v>
      </c>
      <c r="L64" t="s">
        <v>36</v>
      </c>
      <c r="M64" t="str">
        <f>IF(Table3[[#This Row],[Age]]&lt;30,"Young",IF(Table3[[#This Row],[Age]]&lt;=40,"Mid","Senior"))</f>
        <v>Young</v>
      </c>
      <c r="N64" t="str">
        <f>IF(Table3[[#This Row],[Experience]]&lt;3,"Junior",IF(Table3[[#This Row],[Experience]]&lt;=7,"Mid","Senior"))</f>
        <v>Junior</v>
      </c>
      <c r="O64">
        <f>YEAR(Table3[[#This Row],[Joining_Date]])</f>
        <v>2017</v>
      </c>
      <c r="P64" t="str">
        <f>IF(AND(Table3[[#This Row],[Performance]]&lt;=2,Table3[[#This Row],[Attrition]]="No"),"High Risk","Stable")</f>
        <v>Stable</v>
      </c>
    </row>
    <row r="65" spans="1:16" x14ac:dyDescent="0.25">
      <c r="A65" t="s">
        <v>123</v>
      </c>
      <c r="B65" t="s">
        <v>38</v>
      </c>
      <c r="C65" t="s">
        <v>14</v>
      </c>
      <c r="D65">
        <v>22</v>
      </c>
      <c r="E65" t="s">
        <v>24</v>
      </c>
      <c r="F65" t="s">
        <v>124</v>
      </c>
      <c r="G65">
        <v>40902</v>
      </c>
      <c r="H65">
        <v>1</v>
      </c>
      <c r="I65" s="1">
        <v>42993</v>
      </c>
      <c r="J65">
        <v>4</v>
      </c>
      <c r="K65" t="s">
        <v>17</v>
      </c>
      <c r="L65" t="s">
        <v>50</v>
      </c>
      <c r="M65" t="str">
        <f>IF(Table3[[#This Row],[Age]]&lt;30,"Young",IF(Table3[[#This Row],[Age]]&lt;=40,"Mid","Senior"))</f>
        <v>Young</v>
      </c>
      <c r="N65" t="str">
        <f>IF(Table3[[#This Row],[Experience]]&lt;3,"Junior",IF(Table3[[#This Row],[Experience]]&lt;=7,"Mid","Senior"))</f>
        <v>Junior</v>
      </c>
      <c r="O65">
        <f>YEAR(Table3[[#This Row],[Joining_Date]])</f>
        <v>2017</v>
      </c>
      <c r="P65" t="str">
        <f>IF(AND(Table3[[#This Row],[Performance]]&lt;=2,Table3[[#This Row],[Attrition]]="No"),"High Risk","Stable")</f>
        <v>Stable</v>
      </c>
    </row>
    <row r="66" spans="1:16" x14ac:dyDescent="0.25">
      <c r="A66" t="s">
        <v>125</v>
      </c>
      <c r="B66" t="s">
        <v>126</v>
      </c>
      <c r="C66" t="s">
        <v>14</v>
      </c>
      <c r="D66">
        <v>24</v>
      </c>
      <c r="E66" t="s">
        <v>67</v>
      </c>
      <c r="F66" t="s">
        <v>110</v>
      </c>
      <c r="G66">
        <v>46130</v>
      </c>
      <c r="H66">
        <v>3</v>
      </c>
      <c r="I66" s="1">
        <v>43661</v>
      </c>
      <c r="J66">
        <v>2</v>
      </c>
      <c r="K66" t="s">
        <v>42</v>
      </c>
      <c r="L66" t="s">
        <v>43</v>
      </c>
      <c r="M66" t="str">
        <f>IF(Table3[[#This Row],[Age]]&lt;30,"Young",IF(Table3[[#This Row],[Age]]&lt;=40,"Mid","Senior"))</f>
        <v>Young</v>
      </c>
      <c r="N66" t="str">
        <f>IF(Table3[[#This Row],[Experience]]&lt;3,"Junior",IF(Table3[[#This Row],[Experience]]&lt;=7,"Mid","Senior"))</f>
        <v>Mid</v>
      </c>
      <c r="O66">
        <f>YEAR(Table3[[#This Row],[Joining_Date]])</f>
        <v>2019</v>
      </c>
      <c r="P66" t="str">
        <f>IF(AND(Table3[[#This Row],[Performance]]&lt;=2,Table3[[#This Row],[Attrition]]="No"),"High Risk","Stable")</f>
        <v>Stable</v>
      </c>
    </row>
    <row r="67" spans="1:16" x14ac:dyDescent="0.25">
      <c r="A67" t="s">
        <v>127</v>
      </c>
      <c r="B67" t="s">
        <v>23</v>
      </c>
      <c r="C67" t="s">
        <v>14</v>
      </c>
      <c r="D67">
        <v>45</v>
      </c>
      <c r="E67" t="s">
        <v>24</v>
      </c>
      <c r="F67" t="s">
        <v>49</v>
      </c>
      <c r="G67">
        <v>67764</v>
      </c>
      <c r="H67">
        <v>10</v>
      </c>
      <c r="I67" s="1">
        <v>44883</v>
      </c>
      <c r="J67">
        <v>4</v>
      </c>
      <c r="K67" t="s">
        <v>17</v>
      </c>
      <c r="L67" t="s">
        <v>36</v>
      </c>
      <c r="M67" t="str">
        <f>IF(Table3[[#This Row],[Age]]&lt;30,"Young",IF(Table3[[#This Row],[Age]]&lt;=40,"Mid","Senior"))</f>
        <v>Senior</v>
      </c>
      <c r="N67" t="str">
        <f>IF(Table3[[#This Row],[Experience]]&lt;3,"Junior",IF(Table3[[#This Row],[Experience]]&lt;=7,"Mid","Senior"))</f>
        <v>Senior</v>
      </c>
      <c r="O67">
        <f>YEAR(Table3[[#This Row],[Joining_Date]])</f>
        <v>2022</v>
      </c>
      <c r="P67" t="str">
        <f>IF(AND(Table3[[#This Row],[Performance]]&lt;=2,Table3[[#This Row],[Attrition]]="No"),"High Risk","Stable")</f>
        <v>Stable</v>
      </c>
    </row>
    <row r="68" spans="1:16" x14ac:dyDescent="0.25">
      <c r="A68" t="s">
        <v>128</v>
      </c>
      <c r="B68" t="s">
        <v>54</v>
      </c>
      <c r="C68" t="s">
        <v>21</v>
      </c>
      <c r="D68">
        <v>25</v>
      </c>
      <c r="E68" t="s">
        <v>34</v>
      </c>
      <c r="F68" t="s">
        <v>35</v>
      </c>
      <c r="G68">
        <v>46138</v>
      </c>
      <c r="H68">
        <v>4</v>
      </c>
      <c r="I68" s="1">
        <v>42891</v>
      </c>
      <c r="J68">
        <v>4</v>
      </c>
      <c r="K68" t="s">
        <v>17</v>
      </c>
      <c r="L68" t="s">
        <v>43</v>
      </c>
      <c r="M68" t="str">
        <f>IF(Table3[[#This Row],[Age]]&lt;30,"Young",IF(Table3[[#This Row],[Age]]&lt;=40,"Mid","Senior"))</f>
        <v>Young</v>
      </c>
      <c r="N68" t="str">
        <f>IF(Table3[[#This Row],[Experience]]&lt;3,"Junior",IF(Table3[[#This Row],[Experience]]&lt;=7,"Mid","Senior"))</f>
        <v>Mid</v>
      </c>
      <c r="O68">
        <f>YEAR(Table3[[#This Row],[Joining_Date]])</f>
        <v>2017</v>
      </c>
      <c r="P68" t="str">
        <f>IF(AND(Table3[[#This Row],[Performance]]&lt;=2,Table3[[#This Row],[Attrition]]="No"),"High Risk","Stable")</f>
        <v>Stable</v>
      </c>
    </row>
    <row r="69" spans="1:16" x14ac:dyDescent="0.25">
      <c r="A69" t="s">
        <v>129</v>
      </c>
      <c r="B69" t="s">
        <v>56</v>
      </c>
      <c r="C69" t="s">
        <v>21</v>
      </c>
      <c r="D69">
        <v>29</v>
      </c>
      <c r="E69" t="s">
        <v>24</v>
      </c>
      <c r="F69" t="s">
        <v>25</v>
      </c>
      <c r="G69">
        <v>59939</v>
      </c>
      <c r="H69">
        <v>8</v>
      </c>
      <c r="I69" s="1">
        <v>43243</v>
      </c>
      <c r="J69">
        <v>1</v>
      </c>
      <c r="K69" t="s">
        <v>17</v>
      </c>
      <c r="L69" t="s">
        <v>31</v>
      </c>
      <c r="M69" t="str">
        <f>IF(Table3[[#This Row],[Age]]&lt;30,"Young",IF(Table3[[#This Row],[Age]]&lt;=40,"Mid","Senior"))</f>
        <v>Young</v>
      </c>
      <c r="N69" t="str">
        <f>IF(Table3[[#This Row],[Experience]]&lt;3,"Junior",IF(Table3[[#This Row],[Experience]]&lt;=7,"Mid","Senior"))</f>
        <v>Senior</v>
      </c>
      <c r="O69">
        <f>YEAR(Table3[[#This Row],[Joining_Date]])</f>
        <v>2018</v>
      </c>
      <c r="P69" t="str">
        <f>IF(AND(Table3[[#This Row],[Performance]]&lt;=2,Table3[[#This Row],[Attrition]]="No"),"High Risk","Stable")</f>
        <v>High Risk</v>
      </c>
    </row>
    <row r="70" spans="1:16" x14ac:dyDescent="0.25">
      <c r="A70" t="s">
        <v>130</v>
      </c>
      <c r="B70" t="s">
        <v>88</v>
      </c>
      <c r="C70" t="s">
        <v>14</v>
      </c>
      <c r="D70">
        <v>42</v>
      </c>
      <c r="E70" t="s">
        <v>15</v>
      </c>
      <c r="F70" t="s">
        <v>30</v>
      </c>
      <c r="G70">
        <v>79180</v>
      </c>
      <c r="H70">
        <v>15</v>
      </c>
      <c r="I70" s="1">
        <v>45579</v>
      </c>
      <c r="J70">
        <v>1</v>
      </c>
      <c r="K70" t="s">
        <v>17</v>
      </c>
      <c r="L70" t="s">
        <v>18</v>
      </c>
      <c r="M70" t="str">
        <f>IF(Table3[[#This Row],[Age]]&lt;30,"Young",IF(Table3[[#This Row],[Age]]&lt;=40,"Mid","Senior"))</f>
        <v>Senior</v>
      </c>
      <c r="N70" t="str">
        <f>IF(Table3[[#This Row],[Experience]]&lt;3,"Junior",IF(Table3[[#This Row],[Experience]]&lt;=7,"Mid","Senior"))</f>
        <v>Senior</v>
      </c>
      <c r="O70">
        <f>YEAR(Table3[[#This Row],[Joining_Date]])</f>
        <v>2024</v>
      </c>
      <c r="P70" t="str">
        <f>IF(AND(Table3[[#This Row],[Performance]]&lt;=2,Table3[[#This Row],[Attrition]]="No"),"High Risk","Stable")</f>
        <v>High Risk</v>
      </c>
    </row>
    <row r="71" spans="1:16" x14ac:dyDescent="0.25">
      <c r="A71" t="s">
        <v>131</v>
      </c>
      <c r="B71" t="s">
        <v>33</v>
      </c>
      <c r="C71" t="s">
        <v>21</v>
      </c>
      <c r="D71">
        <v>37</v>
      </c>
      <c r="E71" t="s">
        <v>24</v>
      </c>
      <c r="F71" t="s">
        <v>46</v>
      </c>
      <c r="G71">
        <v>45570</v>
      </c>
      <c r="H71">
        <v>3</v>
      </c>
      <c r="I71" s="1">
        <v>43646</v>
      </c>
      <c r="J71">
        <v>4</v>
      </c>
      <c r="K71" t="s">
        <v>42</v>
      </c>
      <c r="L71" t="s">
        <v>39</v>
      </c>
      <c r="M71" t="str">
        <f>IF(Table3[[#This Row],[Age]]&lt;30,"Young",IF(Table3[[#This Row],[Age]]&lt;=40,"Mid","Senior"))</f>
        <v>Mid</v>
      </c>
      <c r="N71" t="str">
        <f>IF(Table3[[#This Row],[Experience]]&lt;3,"Junior",IF(Table3[[#This Row],[Experience]]&lt;=7,"Mid","Senior"))</f>
        <v>Mid</v>
      </c>
      <c r="O71">
        <f>YEAR(Table3[[#This Row],[Joining_Date]])</f>
        <v>2019</v>
      </c>
      <c r="P71" t="str">
        <f>IF(AND(Table3[[#This Row],[Performance]]&lt;=2,Table3[[#This Row],[Attrition]]="No"),"High Risk","Stable")</f>
        <v>Stable</v>
      </c>
    </row>
    <row r="72" spans="1:16" x14ac:dyDescent="0.25">
      <c r="A72" t="s">
        <v>132</v>
      </c>
      <c r="B72" t="s">
        <v>66</v>
      </c>
      <c r="C72" t="s">
        <v>21</v>
      </c>
      <c r="D72">
        <v>31</v>
      </c>
      <c r="E72" t="s">
        <v>15</v>
      </c>
      <c r="F72" t="s">
        <v>80</v>
      </c>
      <c r="G72">
        <v>49066</v>
      </c>
      <c r="H72">
        <v>2</v>
      </c>
      <c r="I72" s="1">
        <v>42490</v>
      </c>
      <c r="J72">
        <v>5</v>
      </c>
      <c r="K72" t="s">
        <v>17</v>
      </c>
      <c r="L72" t="s">
        <v>43</v>
      </c>
      <c r="M72" t="str">
        <f>IF(Table3[[#This Row],[Age]]&lt;30,"Young",IF(Table3[[#This Row],[Age]]&lt;=40,"Mid","Senior"))</f>
        <v>Mid</v>
      </c>
      <c r="N72" t="str">
        <f>IF(Table3[[#This Row],[Experience]]&lt;3,"Junior",IF(Table3[[#This Row],[Experience]]&lt;=7,"Mid","Senior"))</f>
        <v>Junior</v>
      </c>
      <c r="O72">
        <f>YEAR(Table3[[#This Row],[Joining_Date]])</f>
        <v>2016</v>
      </c>
      <c r="P72" t="str">
        <f>IF(AND(Table3[[#This Row],[Performance]]&lt;=2,Table3[[#This Row],[Attrition]]="No"),"High Risk","Stable")</f>
        <v>Stable</v>
      </c>
    </row>
    <row r="73" spans="1:16" x14ac:dyDescent="0.25">
      <c r="A73" t="s">
        <v>133</v>
      </c>
      <c r="B73" t="s">
        <v>101</v>
      </c>
      <c r="C73" t="s">
        <v>14</v>
      </c>
      <c r="D73">
        <v>31</v>
      </c>
      <c r="E73" t="s">
        <v>34</v>
      </c>
      <c r="F73" t="s">
        <v>52</v>
      </c>
      <c r="G73">
        <v>63003</v>
      </c>
      <c r="H73">
        <v>10</v>
      </c>
      <c r="I73" s="1">
        <v>44334</v>
      </c>
      <c r="J73">
        <v>5</v>
      </c>
      <c r="K73" t="s">
        <v>42</v>
      </c>
      <c r="L73" t="s">
        <v>39</v>
      </c>
      <c r="M73" t="str">
        <f>IF(Table3[[#This Row],[Age]]&lt;30,"Young",IF(Table3[[#This Row],[Age]]&lt;=40,"Mid","Senior"))</f>
        <v>Mid</v>
      </c>
      <c r="N73" t="str">
        <f>IF(Table3[[#This Row],[Experience]]&lt;3,"Junior",IF(Table3[[#This Row],[Experience]]&lt;=7,"Mid","Senior"))</f>
        <v>Senior</v>
      </c>
      <c r="O73">
        <f>YEAR(Table3[[#This Row],[Joining_Date]])</f>
        <v>2021</v>
      </c>
      <c r="P73" t="str">
        <f>IF(AND(Table3[[#This Row],[Performance]]&lt;=2,Table3[[#This Row],[Attrition]]="No"),"High Risk","Stable")</f>
        <v>Stable</v>
      </c>
    </row>
    <row r="74" spans="1:16" x14ac:dyDescent="0.25">
      <c r="A74" t="s">
        <v>134</v>
      </c>
      <c r="B74" t="s">
        <v>33</v>
      </c>
      <c r="C74" t="s">
        <v>21</v>
      </c>
      <c r="D74">
        <v>43</v>
      </c>
      <c r="E74" t="s">
        <v>15</v>
      </c>
      <c r="F74" t="s">
        <v>80</v>
      </c>
      <c r="G74">
        <v>47573</v>
      </c>
      <c r="H74">
        <v>2</v>
      </c>
      <c r="I74" s="1">
        <v>42987</v>
      </c>
      <c r="J74">
        <v>2</v>
      </c>
      <c r="K74" t="s">
        <v>17</v>
      </c>
      <c r="L74" t="s">
        <v>18</v>
      </c>
      <c r="M74" t="str">
        <f>IF(Table3[[#This Row],[Age]]&lt;30,"Young",IF(Table3[[#This Row],[Age]]&lt;=40,"Mid","Senior"))</f>
        <v>Senior</v>
      </c>
      <c r="N74" t="str">
        <f>IF(Table3[[#This Row],[Experience]]&lt;3,"Junior",IF(Table3[[#This Row],[Experience]]&lt;=7,"Mid","Senior"))</f>
        <v>Junior</v>
      </c>
      <c r="O74">
        <f>YEAR(Table3[[#This Row],[Joining_Date]])</f>
        <v>2017</v>
      </c>
      <c r="P74" t="str">
        <f>IF(AND(Table3[[#This Row],[Performance]]&lt;=2,Table3[[#This Row],[Attrition]]="No"),"High Risk","Stable")</f>
        <v>High Risk</v>
      </c>
    </row>
    <row r="75" spans="1:16" x14ac:dyDescent="0.25">
      <c r="A75" t="s">
        <v>135</v>
      </c>
      <c r="B75" t="s">
        <v>78</v>
      </c>
      <c r="C75" t="s">
        <v>14</v>
      </c>
      <c r="D75">
        <v>29</v>
      </c>
      <c r="E75" t="s">
        <v>67</v>
      </c>
      <c r="F75" t="s">
        <v>110</v>
      </c>
      <c r="G75">
        <v>66582</v>
      </c>
      <c r="H75">
        <v>8</v>
      </c>
      <c r="I75" s="1">
        <v>43163</v>
      </c>
      <c r="J75">
        <v>4</v>
      </c>
      <c r="K75" t="s">
        <v>42</v>
      </c>
      <c r="L75" t="s">
        <v>50</v>
      </c>
      <c r="M75" t="str">
        <f>IF(Table3[[#This Row],[Age]]&lt;30,"Young",IF(Table3[[#This Row],[Age]]&lt;=40,"Mid","Senior"))</f>
        <v>Young</v>
      </c>
      <c r="N75" t="str">
        <f>IF(Table3[[#This Row],[Experience]]&lt;3,"Junior",IF(Table3[[#This Row],[Experience]]&lt;=7,"Mid","Senior"))</f>
        <v>Senior</v>
      </c>
      <c r="O75">
        <f>YEAR(Table3[[#This Row],[Joining_Date]])</f>
        <v>2018</v>
      </c>
      <c r="P75" t="str">
        <f>IF(AND(Table3[[#This Row],[Performance]]&lt;=2,Table3[[#This Row],[Attrition]]="No"),"High Risk","Stable")</f>
        <v>Stable</v>
      </c>
    </row>
    <row r="76" spans="1:16" x14ac:dyDescent="0.25">
      <c r="A76" t="s">
        <v>136</v>
      </c>
      <c r="B76" t="s">
        <v>63</v>
      </c>
      <c r="C76" t="s">
        <v>14</v>
      </c>
      <c r="D76">
        <v>39</v>
      </c>
      <c r="E76" t="s">
        <v>24</v>
      </c>
      <c r="F76" t="s">
        <v>46</v>
      </c>
      <c r="G76">
        <v>65110</v>
      </c>
      <c r="H76">
        <v>7</v>
      </c>
      <c r="I76" s="1">
        <v>42615</v>
      </c>
      <c r="J76">
        <v>3</v>
      </c>
      <c r="K76" t="s">
        <v>17</v>
      </c>
      <c r="L76" t="s">
        <v>31</v>
      </c>
      <c r="M76" t="str">
        <f>IF(Table3[[#This Row],[Age]]&lt;30,"Young",IF(Table3[[#This Row],[Age]]&lt;=40,"Mid","Senior"))</f>
        <v>Mid</v>
      </c>
      <c r="N76" t="str">
        <f>IF(Table3[[#This Row],[Experience]]&lt;3,"Junior",IF(Table3[[#This Row],[Experience]]&lt;=7,"Mid","Senior"))</f>
        <v>Mid</v>
      </c>
      <c r="O76">
        <f>YEAR(Table3[[#This Row],[Joining_Date]])</f>
        <v>2016</v>
      </c>
      <c r="P76" t="str">
        <f>IF(AND(Table3[[#This Row],[Performance]]&lt;=2,Table3[[#This Row],[Attrition]]="No"),"High Risk","Stable")</f>
        <v>Stable</v>
      </c>
    </row>
    <row r="77" spans="1:16" x14ac:dyDescent="0.25">
      <c r="A77" t="s">
        <v>137</v>
      </c>
      <c r="B77" t="s">
        <v>27</v>
      </c>
      <c r="C77" t="s">
        <v>14</v>
      </c>
      <c r="D77">
        <v>45</v>
      </c>
      <c r="E77" t="s">
        <v>15</v>
      </c>
      <c r="F77" t="s">
        <v>80</v>
      </c>
      <c r="G77">
        <v>69695</v>
      </c>
      <c r="H77">
        <v>9</v>
      </c>
      <c r="I77" s="1">
        <v>42514</v>
      </c>
      <c r="J77">
        <v>4</v>
      </c>
      <c r="K77" t="s">
        <v>17</v>
      </c>
      <c r="L77" t="s">
        <v>39</v>
      </c>
      <c r="M77" t="str">
        <f>IF(Table3[[#This Row],[Age]]&lt;30,"Young",IF(Table3[[#This Row],[Age]]&lt;=40,"Mid","Senior"))</f>
        <v>Senior</v>
      </c>
      <c r="N77" t="str">
        <f>IF(Table3[[#This Row],[Experience]]&lt;3,"Junior",IF(Table3[[#This Row],[Experience]]&lt;=7,"Mid","Senior"))</f>
        <v>Senior</v>
      </c>
      <c r="O77">
        <f>YEAR(Table3[[#This Row],[Joining_Date]])</f>
        <v>2016</v>
      </c>
      <c r="P77" t="str">
        <f>IF(AND(Table3[[#This Row],[Performance]]&lt;=2,Table3[[#This Row],[Attrition]]="No"),"High Risk","Stable")</f>
        <v>Stable</v>
      </c>
    </row>
    <row r="78" spans="1:16" x14ac:dyDescent="0.25">
      <c r="A78" t="s">
        <v>138</v>
      </c>
      <c r="B78" t="s">
        <v>101</v>
      </c>
      <c r="C78" t="s">
        <v>14</v>
      </c>
      <c r="D78">
        <v>24</v>
      </c>
      <c r="E78" t="s">
        <v>67</v>
      </c>
      <c r="F78" t="s">
        <v>76</v>
      </c>
      <c r="G78">
        <v>44578</v>
      </c>
      <c r="H78">
        <v>1</v>
      </c>
      <c r="I78" s="1">
        <v>45013</v>
      </c>
      <c r="J78">
        <v>3</v>
      </c>
      <c r="K78" t="s">
        <v>17</v>
      </c>
      <c r="L78" t="s">
        <v>31</v>
      </c>
      <c r="M78" t="str">
        <f>IF(Table3[[#This Row],[Age]]&lt;30,"Young",IF(Table3[[#This Row],[Age]]&lt;=40,"Mid","Senior"))</f>
        <v>Young</v>
      </c>
      <c r="N78" t="str">
        <f>IF(Table3[[#This Row],[Experience]]&lt;3,"Junior",IF(Table3[[#This Row],[Experience]]&lt;=7,"Mid","Senior"))</f>
        <v>Junior</v>
      </c>
      <c r="O78">
        <f>YEAR(Table3[[#This Row],[Joining_Date]])</f>
        <v>2023</v>
      </c>
      <c r="P78" t="str">
        <f>IF(AND(Table3[[#This Row],[Performance]]&lt;=2,Table3[[#This Row],[Attrition]]="No"),"High Risk","Stable")</f>
        <v>Stable</v>
      </c>
    </row>
    <row r="79" spans="1:16" x14ac:dyDescent="0.25">
      <c r="A79" t="s">
        <v>139</v>
      </c>
      <c r="B79" t="s">
        <v>33</v>
      </c>
      <c r="C79" t="s">
        <v>21</v>
      </c>
      <c r="D79">
        <v>40</v>
      </c>
      <c r="E79" t="s">
        <v>15</v>
      </c>
      <c r="F79" t="s">
        <v>80</v>
      </c>
      <c r="G79">
        <v>55002</v>
      </c>
      <c r="H79">
        <v>1</v>
      </c>
      <c r="I79" s="1">
        <v>45102</v>
      </c>
      <c r="J79">
        <v>2</v>
      </c>
      <c r="K79" t="s">
        <v>17</v>
      </c>
      <c r="L79" t="s">
        <v>36</v>
      </c>
      <c r="M79" t="str">
        <f>IF(Table3[[#This Row],[Age]]&lt;30,"Young",IF(Table3[[#This Row],[Age]]&lt;=40,"Mid","Senior"))</f>
        <v>Mid</v>
      </c>
      <c r="N79" t="str">
        <f>IF(Table3[[#This Row],[Experience]]&lt;3,"Junior",IF(Table3[[#This Row],[Experience]]&lt;=7,"Mid","Senior"))</f>
        <v>Junior</v>
      </c>
      <c r="O79">
        <f>YEAR(Table3[[#This Row],[Joining_Date]])</f>
        <v>2023</v>
      </c>
      <c r="P79" t="str">
        <f>IF(AND(Table3[[#This Row],[Performance]]&lt;=2,Table3[[#This Row],[Attrition]]="No"),"High Risk","Stable")</f>
        <v>High Risk</v>
      </c>
    </row>
    <row r="80" spans="1:16" x14ac:dyDescent="0.25">
      <c r="A80" t="s">
        <v>140</v>
      </c>
      <c r="B80" t="s">
        <v>60</v>
      </c>
      <c r="C80" t="s">
        <v>14</v>
      </c>
      <c r="D80">
        <v>37</v>
      </c>
      <c r="E80" t="s">
        <v>34</v>
      </c>
      <c r="F80" t="s">
        <v>52</v>
      </c>
      <c r="G80">
        <v>67190</v>
      </c>
      <c r="H80">
        <v>11</v>
      </c>
      <c r="I80" s="1">
        <v>43370</v>
      </c>
      <c r="J80">
        <v>3</v>
      </c>
      <c r="K80" t="s">
        <v>17</v>
      </c>
      <c r="L80" t="s">
        <v>50</v>
      </c>
      <c r="M80" t="str">
        <f>IF(Table3[[#This Row],[Age]]&lt;30,"Young",IF(Table3[[#This Row],[Age]]&lt;=40,"Mid","Senior"))</f>
        <v>Mid</v>
      </c>
      <c r="N80" t="str">
        <f>IF(Table3[[#This Row],[Experience]]&lt;3,"Junior",IF(Table3[[#This Row],[Experience]]&lt;=7,"Mid","Senior"))</f>
        <v>Senior</v>
      </c>
      <c r="O80">
        <f>YEAR(Table3[[#This Row],[Joining_Date]])</f>
        <v>2018</v>
      </c>
      <c r="P80" t="str">
        <f>IF(AND(Table3[[#This Row],[Performance]]&lt;=2,Table3[[#This Row],[Attrition]]="No"),"High Risk","Stable")</f>
        <v>Stable</v>
      </c>
    </row>
    <row r="81" spans="1:16" x14ac:dyDescent="0.25">
      <c r="A81" t="s">
        <v>141</v>
      </c>
      <c r="B81" t="s">
        <v>56</v>
      </c>
      <c r="C81" t="s">
        <v>14</v>
      </c>
      <c r="D81">
        <v>43</v>
      </c>
      <c r="E81" t="s">
        <v>24</v>
      </c>
      <c r="F81" t="s">
        <v>49</v>
      </c>
      <c r="G81">
        <v>79460</v>
      </c>
      <c r="H81">
        <v>12</v>
      </c>
      <c r="I81" s="1">
        <v>44258</v>
      </c>
      <c r="J81">
        <v>1</v>
      </c>
      <c r="K81" t="s">
        <v>17</v>
      </c>
      <c r="L81" t="s">
        <v>36</v>
      </c>
      <c r="M81" t="str">
        <f>IF(Table3[[#This Row],[Age]]&lt;30,"Young",IF(Table3[[#This Row],[Age]]&lt;=40,"Mid","Senior"))</f>
        <v>Senior</v>
      </c>
      <c r="N81" t="str">
        <f>IF(Table3[[#This Row],[Experience]]&lt;3,"Junior",IF(Table3[[#This Row],[Experience]]&lt;=7,"Mid","Senior"))</f>
        <v>Senior</v>
      </c>
      <c r="O81">
        <f>YEAR(Table3[[#This Row],[Joining_Date]])</f>
        <v>2021</v>
      </c>
      <c r="P81" t="str">
        <f>IF(AND(Table3[[#This Row],[Performance]]&lt;=2,Table3[[#This Row],[Attrition]]="No"),"High Risk","Stable")</f>
        <v>High Risk</v>
      </c>
    </row>
    <row r="82" spans="1:16" x14ac:dyDescent="0.25">
      <c r="A82" t="s">
        <v>142</v>
      </c>
      <c r="B82" t="s">
        <v>38</v>
      </c>
      <c r="C82" t="s">
        <v>21</v>
      </c>
      <c r="D82">
        <v>36</v>
      </c>
      <c r="E82" t="s">
        <v>15</v>
      </c>
      <c r="F82" t="s">
        <v>71</v>
      </c>
      <c r="G82">
        <v>73388</v>
      </c>
      <c r="H82">
        <v>13</v>
      </c>
      <c r="I82" s="1">
        <v>42773</v>
      </c>
      <c r="J82">
        <v>5</v>
      </c>
      <c r="K82" t="s">
        <v>17</v>
      </c>
      <c r="L82" t="s">
        <v>18</v>
      </c>
      <c r="M82" t="str">
        <f>IF(Table3[[#This Row],[Age]]&lt;30,"Young",IF(Table3[[#This Row],[Age]]&lt;=40,"Mid","Senior"))</f>
        <v>Mid</v>
      </c>
      <c r="N82" t="str">
        <f>IF(Table3[[#This Row],[Experience]]&lt;3,"Junior",IF(Table3[[#This Row],[Experience]]&lt;=7,"Mid","Senior"))</f>
        <v>Senior</v>
      </c>
      <c r="O82">
        <f>YEAR(Table3[[#This Row],[Joining_Date]])</f>
        <v>2017</v>
      </c>
      <c r="P82" t="str">
        <f>IF(AND(Table3[[#This Row],[Performance]]&lt;=2,Table3[[#This Row],[Attrition]]="No"),"High Risk","Stable")</f>
        <v>Stable</v>
      </c>
    </row>
    <row r="83" spans="1:16" x14ac:dyDescent="0.25">
      <c r="A83" t="s">
        <v>143</v>
      </c>
      <c r="B83" t="s">
        <v>33</v>
      </c>
      <c r="C83" t="s">
        <v>21</v>
      </c>
      <c r="D83">
        <v>39</v>
      </c>
      <c r="E83" t="s">
        <v>67</v>
      </c>
      <c r="F83" t="s">
        <v>97</v>
      </c>
      <c r="G83">
        <v>49719</v>
      </c>
      <c r="H83">
        <v>4</v>
      </c>
      <c r="I83" s="1">
        <v>43799</v>
      </c>
      <c r="J83">
        <v>4</v>
      </c>
      <c r="K83" t="s">
        <v>17</v>
      </c>
      <c r="L83" t="s">
        <v>39</v>
      </c>
      <c r="M83" t="str">
        <f>IF(Table3[[#This Row],[Age]]&lt;30,"Young",IF(Table3[[#This Row],[Age]]&lt;=40,"Mid","Senior"))</f>
        <v>Mid</v>
      </c>
      <c r="N83" t="str">
        <f>IF(Table3[[#This Row],[Experience]]&lt;3,"Junior",IF(Table3[[#This Row],[Experience]]&lt;=7,"Mid","Senior"))</f>
        <v>Mid</v>
      </c>
      <c r="O83">
        <f>YEAR(Table3[[#This Row],[Joining_Date]])</f>
        <v>2019</v>
      </c>
      <c r="P83" t="str">
        <f>IF(AND(Table3[[#This Row],[Performance]]&lt;=2,Table3[[#This Row],[Attrition]]="No"),"High Risk","Stable")</f>
        <v>Stable</v>
      </c>
    </row>
    <row r="84" spans="1:16" x14ac:dyDescent="0.25">
      <c r="A84" t="s">
        <v>144</v>
      </c>
      <c r="B84" t="s">
        <v>38</v>
      </c>
      <c r="C84" t="s">
        <v>14</v>
      </c>
      <c r="D84">
        <v>22</v>
      </c>
      <c r="E84" t="s">
        <v>34</v>
      </c>
      <c r="F84" t="s">
        <v>74</v>
      </c>
      <c r="G84">
        <v>37027</v>
      </c>
      <c r="H84">
        <v>1</v>
      </c>
      <c r="I84" s="1">
        <v>42925</v>
      </c>
      <c r="J84">
        <v>1</v>
      </c>
      <c r="K84" t="s">
        <v>17</v>
      </c>
      <c r="L84" t="s">
        <v>50</v>
      </c>
      <c r="M84" t="str">
        <f>IF(Table3[[#This Row],[Age]]&lt;30,"Young",IF(Table3[[#This Row],[Age]]&lt;=40,"Mid","Senior"))</f>
        <v>Young</v>
      </c>
      <c r="N84" t="str">
        <f>IF(Table3[[#This Row],[Experience]]&lt;3,"Junior",IF(Table3[[#This Row],[Experience]]&lt;=7,"Mid","Senior"))</f>
        <v>Junior</v>
      </c>
      <c r="O84">
        <f>YEAR(Table3[[#This Row],[Joining_Date]])</f>
        <v>2017</v>
      </c>
      <c r="P84" t="str">
        <f>IF(AND(Table3[[#This Row],[Performance]]&lt;=2,Table3[[#This Row],[Attrition]]="No"),"High Risk","Stable")</f>
        <v>High Risk</v>
      </c>
    </row>
    <row r="85" spans="1:16" x14ac:dyDescent="0.25">
      <c r="A85" t="s">
        <v>145</v>
      </c>
      <c r="B85" t="s">
        <v>23</v>
      </c>
      <c r="C85" t="s">
        <v>14</v>
      </c>
      <c r="D85">
        <v>37</v>
      </c>
      <c r="E85" t="s">
        <v>67</v>
      </c>
      <c r="F85" t="s">
        <v>76</v>
      </c>
      <c r="G85">
        <v>76493</v>
      </c>
      <c r="H85">
        <v>15</v>
      </c>
      <c r="I85" s="1">
        <v>43875</v>
      </c>
      <c r="J85">
        <v>5</v>
      </c>
      <c r="K85" t="s">
        <v>17</v>
      </c>
      <c r="L85" t="s">
        <v>50</v>
      </c>
      <c r="M85" t="str">
        <f>IF(Table3[[#This Row],[Age]]&lt;30,"Young",IF(Table3[[#This Row],[Age]]&lt;=40,"Mid","Senior"))</f>
        <v>Mid</v>
      </c>
      <c r="N85" t="str">
        <f>IF(Table3[[#This Row],[Experience]]&lt;3,"Junior",IF(Table3[[#This Row],[Experience]]&lt;=7,"Mid","Senior"))</f>
        <v>Senior</v>
      </c>
      <c r="O85">
        <f>YEAR(Table3[[#This Row],[Joining_Date]])</f>
        <v>2020</v>
      </c>
      <c r="P85" t="str">
        <f>IF(AND(Table3[[#This Row],[Performance]]&lt;=2,Table3[[#This Row],[Attrition]]="No"),"High Risk","Stable")</f>
        <v>Stable</v>
      </c>
    </row>
    <row r="86" spans="1:16" x14ac:dyDescent="0.25">
      <c r="A86" t="s">
        <v>146</v>
      </c>
      <c r="B86" t="s">
        <v>23</v>
      </c>
      <c r="C86" t="s">
        <v>14</v>
      </c>
      <c r="D86">
        <v>32</v>
      </c>
      <c r="E86" t="s">
        <v>34</v>
      </c>
      <c r="F86" t="s">
        <v>35</v>
      </c>
      <c r="G86">
        <v>53042</v>
      </c>
      <c r="H86">
        <v>8</v>
      </c>
      <c r="I86" s="1">
        <v>43163</v>
      </c>
      <c r="J86">
        <v>3</v>
      </c>
      <c r="K86" t="s">
        <v>17</v>
      </c>
      <c r="L86" t="s">
        <v>43</v>
      </c>
      <c r="M86" t="str">
        <f>IF(Table3[[#This Row],[Age]]&lt;30,"Young",IF(Table3[[#This Row],[Age]]&lt;=40,"Mid","Senior"))</f>
        <v>Mid</v>
      </c>
      <c r="N86" t="str">
        <f>IF(Table3[[#This Row],[Experience]]&lt;3,"Junior",IF(Table3[[#This Row],[Experience]]&lt;=7,"Mid","Senior"))</f>
        <v>Senior</v>
      </c>
      <c r="O86">
        <f>YEAR(Table3[[#This Row],[Joining_Date]])</f>
        <v>2018</v>
      </c>
      <c r="P86" t="str">
        <f>IF(AND(Table3[[#This Row],[Performance]]&lt;=2,Table3[[#This Row],[Attrition]]="No"),"High Risk","Stable")</f>
        <v>Stable</v>
      </c>
    </row>
    <row r="87" spans="1:16" x14ac:dyDescent="0.25">
      <c r="A87" t="s">
        <v>147</v>
      </c>
      <c r="B87" t="s">
        <v>38</v>
      </c>
      <c r="C87" t="s">
        <v>14</v>
      </c>
      <c r="D87">
        <v>37</v>
      </c>
      <c r="E87" t="s">
        <v>67</v>
      </c>
      <c r="F87" t="s">
        <v>68</v>
      </c>
      <c r="G87">
        <v>67946</v>
      </c>
      <c r="H87">
        <v>11</v>
      </c>
      <c r="I87" s="1">
        <v>44265</v>
      </c>
      <c r="J87">
        <v>5</v>
      </c>
      <c r="K87" t="s">
        <v>17</v>
      </c>
      <c r="L87" t="s">
        <v>36</v>
      </c>
      <c r="M87" t="str">
        <f>IF(Table3[[#This Row],[Age]]&lt;30,"Young",IF(Table3[[#This Row],[Age]]&lt;=40,"Mid","Senior"))</f>
        <v>Mid</v>
      </c>
      <c r="N87" t="str">
        <f>IF(Table3[[#This Row],[Experience]]&lt;3,"Junior",IF(Table3[[#This Row],[Experience]]&lt;=7,"Mid","Senior"))</f>
        <v>Senior</v>
      </c>
      <c r="O87">
        <f>YEAR(Table3[[#This Row],[Joining_Date]])</f>
        <v>2021</v>
      </c>
      <c r="P87" t="str">
        <f>IF(AND(Table3[[#This Row],[Performance]]&lt;=2,Table3[[#This Row],[Attrition]]="No"),"High Risk","Stable")</f>
        <v>Stable</v>
      </c>
    </row>
    <row r="88" spans="1:16" x14ac:dyDescent="0.25">
      <c r="A88" t="s">
        <v>148</v>
      </c>
      <c r="B88" t="s">
        <v>13</v>
      </c>
      <c r="C88" t="s">
        <v>14</v>
      </c>
      <c r="D88">
        <v>35</v>
      </c>
      <c r="E88" t="s">
        <v>34</v>
      </c>
      <c r="F88" t="s">
        <v>74</v>
      </c>
      <c r="G88">
        <v>40713</v>
      </c>
      <c r="H88">
        <v>1</v>
      </c>
      <c r="I88" s="1">
        <v>45055</v>
      </c>
      <c r="J88">
        <v>4</v>
      </c>
      <c r="K88" t="s">
        <v>17</v>
      </c>
      <c r="L88" t="s">
        <v>18</v>
      </c>
      <c r="M88" t="str">
        <f>IF(Table3[[#This Row],[Age]]&lt;30,"Young",IF(Table3[[#This Row],[Age]]&lt;=40,"Mid","Senior"))</f>
        <v>Mid</v>
      </c>
      <c r="N88" t="str">
        <f>IF(Table3[[#This Row],[Experience]]&lt;3,"Junior",IF(Table3[[#This Row],[Experience]]&lt;=7,"Mid","Senior"))</f>
        <v>Junior</v>
      </c>
      <c r="O88">
        <f>YEAR(Table3[[#This Row],[Joining_Date]])</f>
        <v>2023</v>
      </c>
      <c r="P88" t="str">
        <f>IF(AND(Table3[[#This Row],[Performance]]&lt;=2,Table3[[#This Row],[Attrition]]="No"),"High Risk","Stable")</f>
        <v>Stable</v>
      </c>
    </row>
    <row r="89" spans="1:16" x14ac:dyDescent="0.25">
      <c r="A89" t="s">
        <v>149</v>
      </c>
      <c r="B89" t="s">
        <v>78</v>
      </c>
      <c r="C89" t="s">
        <v>14</v>
      </c>
      <c r="D89">
        <v>26</v>
      </c>
      <c r="E89" t="s">
        <v>67</v>
      </c>
      <c r="F89" t="s">
        <v>68</v>
      </c>
      <c r="G89">
        <v>49144</v>
      </c>
      <c r="H89">
        <v>5</v>
      </c>
      <c r="I89" s="1">
        <v>45585</v>
      </c>
      <c r="J89">
        <v>4</v>
      </c>
      <c r="K89" t="s">
        <v>17</v>
      </c>
      <c r="L89" t="s">
        <v>18</v>
      </c>
      <c r="M89" t="str">
        <f>IF(Table3[[#This Row],[Age]]&lt;30,"Young",IF(Table3[[#This Row],[Age]]&lt;=40,"Mid","Senior"))</f>
        <v>Young</v>
      </c>
      <c r="N89" t="str">
        <f>IF(Table3[[#This Row],[Experience]]&lt;3,"Junior",IF(Table3[[#This Row],[Experience]]&lt;=7,"Mid","Senior"))</f>
        <v>Mid</v>
      </c>
      <c r="O89">
        <f>YEAR(Table3[[#This Row],[Joining_Date]])</f>
        <v>2024</v>
      </c>
      <c r="P89" t="str">
        <f>IF(AND(Table3[[#This Row],[Performance]]&lt;=2,Table3[[#This Row],[Attrition]]="No"),"High Risk","Stable")</f>
        <v>Stable</v>
      </c>
    </row>
    <row r="90" spans="1:16" x14ac:dyDescent="0.25">
      <c r="A90" t="s">
        <v>150</v>
      </c>
      <c r="B90" t="s">
        <v>88</v>
      </c>
      <c r="C90" t="s">
        <v>14</v>
      </c>
      <c r="D90">
        <v>24</v>
      </c>
      <c r="E90" t="s">
        <v>15</v>
      </c>
      <c r="F90" t="s">
        <v>80</v>
      </c>
      <c r="G90">
        <v>60304</v>
      </c>
      <c r="H90">
        <v>3</v>
      </c>
      <c r="I90" s="1">
        <v>45974</v>
      </c>
      <c r="J90">
        <v>3</v>
      </c>
      <c r="K90" t="s">
        <v>17</v>
      </c>
      <c r="L90" t="s">
        <v>39</v>
      </c>
      <c r="M90" t="str">
        <f>IF(Table3[[#This Row],[Age]]&lt;30,"Young",IF(Table3[[#This Row],[Age]]&lt;=40,"Mid","Senior"))</f>
        <v>Young</v>
      </c>
      <c r="N90" t="str">
        <f>IF(Table3[[#This Row],[Experience]]&lt;3,"Junior",IF(Table3[[#This Row],[Experience]]&lt;=7,"Mid","Senior"))</f>
        <v>Mid</v>
      </c>
      <c r="O90">
        <f>YEAR(Table3[[#This Row],[Joining_Date]])</f>
        <v>2025</v>
      </c>
      <c r="P90" t="str">
        <f>IF(AND(Table3[[#This Row],[Performance]]&lt;=2,Table3[[#This Row],[Attrition]]="No"),"High Risk","Stable")</f>
        <v>Stable</v>
      </c>
    </row>
    <row r="91" spans="1:16" x14ac:dyDescent="0.25">
      <c r="A91" t="s">
        <v>151</v>
      </c>
      <c r="B91" t="s">
        <v>38</v>
      </c>
      <c r="C91" t="s">
        <v>14</v>
      </c>
      <c r="D91">
        <v>34</v>
      </c>
      <c r="E91" t="s">
        <v>67</v>
      </c>
      <c r="F91" t="s">
        <v>97</v>
      </c>
      <c r="G91">
        <v>70269</v>
      </c>
      <c r="H91">
        <v>10</v>
      </c>
      <c r="I91" s="1">
        <v>44948</v>
      </c>
      <c r="J91">
        <v>4</v>
      </c>
      <c r="K91" t="s">
        <v>17</v>
      </c>
      <c r="L91" t="s">
        <v>31</v>
      </c>
      <c r="M91" t="str">
        <f>IF(Table3[[#This Row],[Age]]&lt;30,"Young",IF(Table3[[#This Row],[Age]]&lt;=40,"Mid","Senior"))</f>
        <v>Mid</v>
      </c>
      <c r="N91" t="str">
        <f>IF(Table3[[#This Row],[Experience]]&lt;3,"Junior",IF(Table3[[#This Row],[Experience]]&lt;=7,"Mid","Senior"))</f>
        <v>Senior</v>
      </c>
      <c r="O91">
        <f>YEAR(Table3[[#This Row],[Joining_Date]])</f>
        <v>2023</v>
      </c>
      <c r="P91" t="str">
        <f>IF(AND(Table3[[#This Row],[Performance]]&lt;=2,Table3[[#This Row],[Attrition]]="No"),"High Risk","Stable")</f>
        <v>Stable</v>
      </c>
    </row>
    <row r="92" spans="1:16" x14ac:dyDescent="0.25">
      <c r="A92" t="s">
        <v>152</v>
      </c>
      <c r="B92" t="s">
        <v>13</v>
      </c>
      <c r="C92" t="s">
        <v>14</v>
      </c>
      <c r="D92">
        <v>45</v>
      </c>
      <c r="E92" t="s">
        <v>15</v>
      </c>
      <c r="F92" t="s">
        <v>80</v>
      </c>
      <c r="G92">
        <v>52110</v>
      </c>
      <c r="H92">
        <v>2</v>
      </c>
      <c r="I92" s="1">
        <v>42408</v>
      </c>
      <c r="J92">
        <v>1</v>
      </c>
      <c r="K92" t="s">
        <v>42</v>
      </c>
      <c r="L92" t="s">
        <v>39</v>
      </c>
      <c r="M92" t="str">
        <f>IF(Table3[[#This Row],[Age]]&lt;30,"Young",IF(Table3[[#This Row],[Age]]&lt;=40,"Mid","Senior"))</f>
        <v>Senior</v>
      </c>
      <c r="N92" t="str">
        <f>IF(Table3[[#This Row],[Experience]]&lt;3,"Junior",IF(Table3[[#This Row],[Experience]]&lt;=7,"Mid","Senior"))</f>
        <v>Junior</v>
      </c>
      <c r="O92">
        <f>YEAR(Table3[[#This Row],[Joining_Date]])</f>
        <v>2016</v>
      </c>
      <c r="P92" t="str">
        <f>IF(AND(Table3[[#This Row],[Performance]]&lt;=2,Table3[[#This Row],[Attrition]]="No"),"High Risk","Stable")</f>
        <v>Stable</v>
      </c>
    </row>
    <row r="93" spans="1:16" x14ac:dyDescent="0.25">
      <c r="A93" t="s">
        <v>153</v>
      </c>
      <c r="B93" t="s">
        <v>54</v>
      </c>
      <c r="C93" t="s">
        <v>21</v>
      </c>
      <c r="D93">
        <v>23</v>
      </c>
      <c r="E93" t="s">
        <v>24</v>
      </c>
      <c r="F93" t="s">
        <v>25</v>
      </c>
      <c r="G93">
        <v>47873</v>
      </c>
      <c r="H93">
        <v>2</v>
      </c>
      <c r="I93" s="1">
        <v>43540</v>
      </c>
      <c r="J93">
        <v>4</v>
      </c>
      <c r="K93" t="s">
        <v>17</v>
      </c>
      <c r="L93" t="s">
        <v>43</v>
      </c>
      <c r="M93" t="str">
        <f>IF(Table3[[#This Row],[Age]]&lt;30,"Young",IF(Table3[[#This Row],[Age]]&lt;=40,"Mid","Senior"))</f>
        <v>Young</v>
      </c>
      <c r="N93" t="str">
        <f>IF(Table3[[#This Row],[Experience]]&lt;3,"Junior",IF(Table3[[#This Row],[Experience]]&lt;=7,"Mid","Senior"))</f>
        <v>Junior</v>
      </c>
      <c r="O93">
        <f>YEAR(Table3[[#This Row],[Joining_Date]])</f>
        <v>2019</v>
      </c>
      <c r="P93" t="str">
        <f>IF(AND(Table3[[#This Row],[Performance]]&lt;=2,Table3[[#This Row],[Attrition]]="No"),"High Risk","Stable")</f>
        <v>Stable</v>
      </c>
    </row>
    <row r="94" spans="1:16" x14ac:dyDescent="0.25">
      <c r="A94" t="s">
        <v>154</v>
      </c>
      <c r="B94" t="s">
        <v>91</v>
      </c>
      <c r="C94" t="s">
        <v>21</v>
      </c>
      <c r="D94">
        <v>24</v>
      </c>
      <c r="E94" t="s">
        <v>67</v>
      </c>
      <c r="F94" t="s">
        <v>68</v>
      </c>
      <c r="G94">
        <v>52653</v>
      </c>
      <c r="H94">
        <v>3</v>
      </c>
      <c r="I94" s="1">
        <v>44803</v>
      </c>
      <c r="J94">
        <v>2</v>
      </c>
      <c r="K94" t="s">
        <v>17</v>
      </c>
      <c r="L94" t="s">
        <v>50</v>
      </c>
      <c r="M94" t="str">
        <f>IF(Table3[[#This Row],[Age]]&lt;30,"Young",IF(Table3[[#This Row],[Age]]&lt;=40,"Mid","Senior"))</f>
        <v>Young</v>
      </c>
      <c r="N94" t="str">
        <f>IF(Table3[[#This Row],[Experience]]&lt;3,"Junior",IF(Table3[[#This Row],[Experience]]&lt;=7,"Mid","Senior"))</f>
        <v>Mid</v>
      </c>
      <c r="O94">
        <f>YEAR(Table3[[#This Row],[Joining_Date]])</f>
        <v>2022</v>
      </c>
      <c r="P94" t="str">
        <f>IF(AND(Table3[[#This Row],[Performance]]&lt;=2,Table3[[#This Row],[Attrition]]="No"),"High Risk","Stable")</f>
        <v>High Risk</v>
      </c>
    </row>
    <row r="95" spans="1:16" x14ac:dyDescent="0.25">
      <c r="A95" t="s">
        <v>155</v>
      </c>
      <c r="B95" t="s">
        <v>33</v>
      </c>
      <c r="C95" t="s">
        <v>14</v>
      </c>
      <c r="D95">
        <v>43</v>
      </c>
      <c r="E95" t="s">
        <v>67</v>
      </c>
      <c r="F95" t="s">
        <v>76</v>
      </c>
      <c r="G95">
        <v>42622</v>
      </c>
      <c r="H95">
        <v>0</v>
      </c>
      <c r="I95" s="1">
        <v>45696</v>
      </c>
      <c r="J95">
        <v>3</v>
      </c>
      <c r="K95" t="s">
        <v>17</v>
      </c>
      <c r="L95" t="s">
        <v>50</v>
      </c>
      <c r="M95" t="str">
        <f>IF(Table3[[#This Row],[Age]]&lt;30,"Young",IF(Table3[[#This Row],[Age]]&lt;=40,"Mid","Senior"))</f>
        <v>Senior</v>
      </c>
      <c r="N95" t="str">
        <f>IF(Table3[[#This Row],[Experience]]&lt;3,"Junior",IF(Table3[[#This Row],[Experience]]&lt;=7,"Mid","Senior"))</f>
        <v>Junior</v>
      </c>
      <c r="O95">
        <f>YEAR(Table3[[#This Row],[Joining_Date]])</f>
        <v>2025</v>
      </c>
      <c r="P95" t="str">
        <f>IF(AND(Table3[[#This Row],[Performance]]&lt;=2,Table3[[#This Row],[Attrition]]="No"),"High Risk","Stable")</f>
        <v>Stable</v>
      </c>
    </row>
    <row r="96" spans="1:16" x14ac:dyDescent="0.25">
      <c r="A96" t="s">
        <v>156</v>
      </c>
      <c r="B96" t="s">
        <v>66</v>
      </c>
      <c r="C96" t="s">
        <v>14</v>
      </c>
      <c r="D96">
        <v>31</v>
      </c>
      <c r="E96" t="s">
        <v>15</v>
      </c>
      <c r="F96" t="s">
        <v>71</v>
      </c>
      <c r="G96">
        <v>76310</v>
      </c>
      <c r="H96">
        <v>10</v>
      </c>
      <c r="I96" s="1">
        <v>43029</v>
      </c>
      <c r="J96">
        <v>4</v>
      </c>
      <c r="K96" t="s">
        <v>17</v>
      </c>
      <c r="L96" t="s">
        <v>50</v>
      </c>
      <c r="M96" t="str">
        <f>IF(Table3[[#This Row],[Age]]&lt;30,"Young",IF(Table3[[#This Row],[Age]]&lt;=40,"Mid","Senior"))</f>
        <v>Mid</v>
      </c>
      <c r="N96" t="str">
        <f>IF(Table3[[#This Row],[Experience]]&lt;3,"Junior",IF(Table3[[#This Row],[Experience]]&lt;=7,"Mid","Senior"))</f>
        <v>Senior</v>
      </c>
      <c r="O96">
        <f>YEAR(Table3[[#This Row],[Joining_Date]])</f>
        <v>2017</v>
      </c>
      <c r="P96" t="str">
        <f>IF(AND(Table3[[#This Row],[Performance]]&lt;=2,Table3[[#This Row],[Attrition]]="No"),"High Risk","Stable")</f>
        <v>Stable</v>
      </c>
    </row>
    <row r="97" spans="1:16" x14ac:dyDescent="0.25">
      <c r="A97" t="s">
        <v>157</v>
      </c>
      <c r="B97" t="s">
        <v>13</v>
      </c>
      <c r="C97" t="s">
        <v>21</v>
      </c>
      <c r="D97">
        <v>34</v>
      </c>
      <c r="E97" t="s">
        <v>67</v>
      </c>
      <c r="F97" t="s">
        <v>110</v>
      </c>
      <c r="G97">
        <v>71917</v>
      </c>
      <c r="H97">
        <v>11</v>
      </c>
      <c r="I97" s="1">
        <v>43216</v>
      </c>
      <c r="J97">
        <v>3</v>
      </c>
      <c r="K97" t="s">
        <v>42</v>
      </c>
      <c r="L97" t="s">
        <v>39</v>
      </c>
      <c r="M97" t="str">
        <f>IF(Table3[[#This Row],[Age]]&lt;30,"Young",IF(Table3[[#This Row],[Age]]&lt;=40,"Mid","Senior"))</f>
        <v>Mid</v>
      </c>
      <c r="N97" t="str">
        <f>IF(Table3[[#This Row],[Experience]]&lt;3,"Junior",IF(Table3[[#This Row],[Experience]]&lt;=7,"Mid","Senior"))</f>
        <v>Senior</v>
      </c>
      <c r="O97">
        <f>YEAR(Table3[[#This Row],[Joining_Date]])</f>
        <v>2018</v>
      </c>
      <c r="P97" t="str">
        <f>IF(AND(Table3[[#This Row],[Performance]]&lt;=2,Table3[[#This Row],[Attrition]]="No"),"High Risk","Stable")</f>
        <v>Stable</v>
      </c>
    </row>
    <row r="98" spans="1:16" x14ac:dyDescent="0.25">
      <c r="A98" t="s">
        <v>158</v>
      </c>
      <c r="B98" t="s">
        <v>66</v>
      </c>
      <c r="C98" t="s">
        <v>21</v>
      </c>
      <c r="D98">
        <v>43</v>
      </c>
      <c r="E98" t="s">
        <v>67</v>
      </c>
      <c r="F98" t="s">
        <v>76</v>
      </c>
      <c r="G98">
        <v>47435</v>
      </c>
      <c r="H98">
        <v>1</v>
      </c>
      <c r="I98" s="1">
        <v>45057</v>
      </c>
      <c r="J98">
        <v>4</v>
      </c>
      <c r="K98" t="s">
        <v>17</v>
      </c>
      <c r="L98" t="s">
        <v>36</v>
      </c>
      <c r="M98" t="str">
        <f>IF(Table3[[#This Row],[Age]]&lt;30,"Young",IF(Table3[[#This Row],[Age]]&lt;=40,"Mid","Senior"))</f>
        <v>Senior</v>
      </c>
      <c r="N98" t="str">
        <f>IF(Table3[[#This Row],[Experience]]&lt;3,"Junior",IF(Table3[[#This Row],[Experience]]&lt;=7,"Mid","Senior"))</f>
        <v>Junior</v>
      </c>
      <c r="O98">
        <f>YEAR(Table3[[#This Row],[Joining_Date]])</f>
        <v>2023</v>
      </c>
      <c r="P98" t="str">
        <f>IF(AND(Table3[[#This Row],[Performance]]&lt;=2,Table3[[#This Row],[Attrition]]="No"),"High Risk","Stable")</f>
        <v>Stable</v>
      </c>
    </row>
    <row r="99" spans="1:16" x14ac:dyDescent="0.25">
      <c r="A99" t="s">
        <v>159</v>
      </c>
      <c r="B99" t="s">
        <v>20</v>
      </c>
      <c r="C99" t="s">
        <v>21</v>
      </c>
      <c r="D99">
        <v>41</v>
      </c>
      <c r="E99" t="s">
        <v>34</v>
      </c>
      <c r="F99" t="s">
        <v>41</v>
      </c>
      <c r="G99">
        <v>64104</v>
      </c>
      <c r="H99">
        <v>8</v>
      </c>
      <c r="I99" s="1">
        <v>45099</v>
      </c>
      <c r="J99">
        <v>2</v>
      </c>
      <c r="K99" t="s">
        <v>17</v>
      </c>
      <c r="L99" t="s">
        <v>39</v>
      </c>
      <c r="M99" t="str">
        <f>IF(Table3[[#This Row],[Age]]&lt;30,"Young",IF(Table3[[#This Row],[Age]]&lt;=40,"Mid","Senior"))</f>
        <v>Senior</v>
      </c>
      <c r="N99" t="str">
        <f>IF(Table3[[#This Row],[Experience]]&lt;3,"Junior",IF(Table3[[#This Row],[Experience]]&lt;=7,"Mid","Senior"))</f>
        <v>Senior</v>
      </c>
      <c r="O99">
        <f>YEAR(Table3[[#This Row],[Joining_Date]])</f>
        <v>2023</v>
      </c>
      <c r="P99" t="str">
        <f>IF(AND(Table3[[#This Row],[Performance]]&lt;=2,Table3[[#This Row],[Attrition]]="No"),"High Risk","Stable")</f>
        <v>High Risk</v>
      </c>
    </row>
    <row r="100" spans="1:16" x14ac:dyDescent="0.25">
      <c r="A100" t="s">
        <v>160</v>
      </c>
      <c r="B100" t="s">
        <v>78</v>
      </c>
      <c r="C100" t="s">
        <v>14</v>
      </c>
      <c r="D100">
        <v>40</v>
      </c>
      <c r="E100" t="s">
        <v>15</v>
      </c>
      <c r="F100" t="s">
        <v>28</v>
      </c>
      <c r="G100">
        <v>79498</v>
      </c>
      <c r="H100">
        <v>11</v>
      </c>
      <c r="I100" s="1">
        <v>42543</v>
      </c>
      <c r="J100">
        <v>1</v>
      </c>
      <c r="K100" t="s">
        <v>17</v>
      </c>
      <c r="L100" t="s">
        <v>18</v>
      </c>
      <c r="M100" t="str">
        <f>IF(Table3[[#This Row],[Age]]&lt;30,"Young",IF(Table3[[#This Row],[Age]]&lt;=40,"Mid","Senior"))</f>
        <v>Mid</v>
      </c>
      <c r="N100" t="str">
        <f>IF(Table3[[#This Row],[Experience]]&lt;3,"Junior",IF(Table3[[#This Row],[Experience]]&lt;=7,"Mid","Senior"))</f>
        <v>Senior</v>
      </c>
      <c r="O100">
        <f>YEAR(Table3[[#This Row],[Joining_Date]])</f>
        <v>2016</v>
      </c>
      <c r="P100" t="str">
        <f>IF(AND(Table3[[#This Row],[Performance]]&lt;=2,Table3[[#This Row],[Attrition]]="No"),"High Risk","Stable")</f>
        <v>High Risk</v>
      </c>
    </row>
    <row r="101" spans="1:16" x14ac:dyDescent="0.25">
      <c r="A101" t="s">
        <v>161</v>
      </c>
      <c r="B101" t="s">
        <v>38</v>
      </c>
      <c r="C101" t="s">
        <v>21</v>
      </c>
      <c r="D101">
        <v>33</v>
      </c>
      <c r="E101" t="s">
        <v>34</v>
      </c>
      <c r="F101" t="s">
        <v>74</v>
      </c>
      <c r="G101">
        <v>55695</v>
      </c>
      <c r="H101">
        <v>8</v>
      </c>
      <c r="I101" s="1">
        <v>43057</v>
      </c>
      <c r="J101">
        <v>4</v>
      </c>
      <c r="K101" t="s">
        <v>17</v>
      </c>
      <c r="L101" t="s">
        <v>36</v>
      </c>
      <c r="M101" t="str">
        <f>IF(Table3[[#This Row],[Age]]&lt;30,"Young",IF(Table3[[#This Row],[Age]]&lt;=40,"Mid","Senior"))</f>
        <v>Mid</v>
      </c>
      <c r="N101" t="str">
        <f>IF(Table3[[#This Row],[Experience]]&lt;3,"Junior",IF(Table3[[#This Row],[Experience]]&lt;=7,"Mid","Senior"))</f>
        <v>Senior</v>
      </c>
      <c r="O101">
        <f>YEAR(Table3[[#This Row],[Joining_Date]])</f>
        <v>2017</v>
      </c>
      <c r="P101" t="str">
        <f>IF(AND(Table3[[#This Row],[Performance]]&lt;=2,Table3[[#This Row],[Attrition]]="No"),"High Risk","Stable")</f>
        <v>Stable</v>
      </c>
    </row>
    <row r="102" spans="1:16" x14ac:dyDescent="0.25">
      <c r="A102" t="s">
        <v>162</v>
      </c>
      <c r="B102" t="s">
        <v>60</v>
      </c>
      <c r="C102" t="s">
        <v>14</v>
      </c>
      <c r="D102">
        <v>26</v>
      </c>
      <c r="E102" t="s">
        <v>24</v>
      </c>
      <c r="F102" t="s">
        <v>25</v>
      </c>
      <c r="G102">
        <v>60580</v>
      </c>
      <c r="H102">
        <v>5</v>
      </c>
      <c r="I102" s="1">
        <v>44971</v>
      </c>
      <c r="J102">
        <v>4</v>
      </c>
      <c r="K102" t="s">
        <v>17</v>
      </c>
      <c r="L102" t="s">
        <v>43</v>
      </c>
      <c r="M102" t="str">
        <f>IF(Table3[[#This Row],[Age]]&lt;30,"Young",IF(Table3[[#This Row],[Age]]&lt;=40,"Mid","Senior"))</f>
        <v>Young</v>
      </c>
      <c r="N102" t="str">
        <f>IF(Table3[[#This Row],[Experience]]&lt;3,"Junior",IF(Table3[[#This Row],[Experience]]&lt;=7,"Mid","Senior"))</f>
        <v>Mid</v>
      </c>
      <c r="O102">
        <f>YEAR(Table3[[#This Row],[Joining_Date]])</f>
        <v>2023</v>
      </c>
      <c r="P102" t="str">
        <f>IF(AND(Table3[[#This Row],[Performance]]&lt;=2,Table3[[#This Row],[Attrition]]="No"),"High Risk","Stable")</f>
        <v>Stable</v>
      </c>
    </row>
    <row r="103" spans="1:16" x14ac:dyDescent="0.25">
      <c r="A103" t="s">
        <v>163</v>
      </c>
      <c r="B103" t="s">
        <v>126</v>
      </c>
      <c r="C103" t="s">
        <v>14</v>
      </c>
      <c r="D103">
        <v>30</v>
      </c>
      <c r="E103" t="s">
        <v>24</v>
      </c>
      <c r="F103" t="s">
        <v>25</v>
      </c>
      <c r="G103">
        <v>51951</v>
      </c>
      <c r="H103">
        <v>3</v>
      </c>
      <c r="I103" s="1">
        <v>43514</v>
      </c>
      <c r="J103">
        <v>3</v>
      </c>
      <c r="K103" t="s">
        <v>17</v>
      </c>
      <c r="L103" t="s">
        <v>39</v>
      </c>
      <c r="M103" t="str">
        <f>IF(Table3[[#This Row],[Age]]&lt;30,"Young",IF(Table3[[#This Row],[Age]]&lt;=40,"Mid","Senior"))</f>
        <v>Mid</v>
      </c>
      <c r="N103" t="str">
        <f>IF(Table3[[#This Row],[Experience]]&lt;3,"Junior",IF(Table3[[#This Row],[Experience]]&lt;=7,"Mid","Senior"))</f>
        <v>Mid</v>
      </c>
      <c r="O103">
        <f>YEAR(Table3[[#This Row],[Joining_Date]])</f>
        <v>2019</v>
      </c>
      <c r="P103" t="str">
        <f>IF(AND(Table3[[#This Row],[Performance]]&lt;=2,Table3[[#This Row],[Attrition]]="No"),"High Risk","Stable")</f>
        <v>Stable</v>
      </c>
    </row>
    <row r="104" spans="1:16" x14ac:dyDescent="0.25">
      <c r="A104" t="s">
        <v>164</v>
      </c>
      <c r="B104" t="s">
        <v>58</v>
      </c>
      <c r="C104" t="s">
        <v>21</v>
      </c>
      <c r="D104">
        <v>22</v>
      </c>
      <c r="E104" t="s">
        <v>24</v>
      </c>
      <c r="F104" t="s">
        <v>25</v>
      </c>
      <c r="G104">
        <v>49495</v>
      </c>
      <c r="H104">
        <v>1</v>
      </c>
      <c r="I104" s="1">
        <v>42911</v>
      </c>
      <c r="J104">
        <v>1</v>
      </c>
      <c r="K104" t="s">
        <v>17</v>
      </c>
      <c r="L104" t="s">
        <v>39</v>
      </c>
      <c r="M104" t="str">
        <f>IF(Table3[[#This Row],[Age]]&lt;30,"Young",IF(Table3[[#This Row],[Age]]&lt;=40,"Mid","Senior"))</f>
        <v>Young</v>
      </c>
      <c r="N104" t="str">
        <f>IF(Table3[[#This Row],[Experience]]&lt;3,"Junior",IF(Table3[[#This Row],[Experience]]&lt;=7,"Mid","Senior"))</f>
        <v>Junior</v>
      </c>
      <c r="O104">
        <f>YEAR(Table3[[#This Row],[Joining_Date]])</f>
        <v>2017</v>
      </c>
      <c r="P104" t="str">
        <f>IF(AND(Table3[[#This Row],[Performance]]&lt;=2,Table3[[#This Row],[Attrition]]="No"),"High Risk","Stable")</f>
        <v>High Risk</v>
      </c>
    </row>
    <row r="105" spans="1:16" x14ac:dyDescent="0.25">
      <c r="A105" t="s">
        <v>165</v>
      </c>
      <c r="B105" t="s">
        <v>88</v>
      </c>
      <c r="C105" t="s">
        <v>21</v>
      </c>
      <c r="D105">
        <v>23</v>
      </c>
      <c r="E105" t="s">
        <v>24</v>
      </c>
      <c r="F105" t="s">
        <v>49</v>
      </c>
      <c r="G105">
        <v>44486</v>
      </c>
      <c r="H105">
        <v>1</v>
      </c>
      <c r="I105" s="1">
        <v>44022</v>
      </c>
      <c r="J105">
        <v>1</v>
      </c>
      <c r="K105" t="s">
        <v>42</v>
      </c>
      <c r="L105" t="s">
        <v>43</v>
      </c>
      <c r="M105" t="str">
        <f>IF(Table3[[#This Row],[Age]]&lt;30,"Young",IF(Table3[[#This Row],[Age]]&lt;=40,"Mid","Senior"))</f>
        <v>Young</v>
      </c>
      <c r="N105" t="str">
        <f>IF(Table3[[#This Row],[Experience]]&lt;3,"Junior",IF(Table3[[#This Row],[Experience]]&lt;=7,"Mid","Senior"))</f>
        <v>Junior</v>
      </c>
      <c r="O105">
        <f>YEAR(Table3[[#This Row],[Joining_Date]])</f>
        <v>2020</v>
      </c>
      <c r="P105" t="str">
        <f>IF(AND(Table3[[#This Row],[Performance]]&lt;=2,Table3[[#This Row],[Attrition]]="No"),"High Risk","Stable")</f>
        <v>Stable</v>
      </c>
    </row>
    <row r="106" spans="1:16" x14ac:dyDescent="0.25">
      <c r="A106" t="s">
        <v>166</v>
      </c>
      <c r="B106" t="s">
        <v>48</v>
      </c>
      <c r="C106" t="s">
        <v>14</v>
      </c>
      <c r="D106">
        <v>43</v>
      </c>
      <c r="E106" t="s">
        <v>34</v>
      </c>
      <c r="F106" t="s">
        <v>52</v>
      </c>
      <c r="G106">
        <v>75122</v>
      </c>
      <c r="H106">
        <v>13</v>
      </c>
      <c r="I106" s="1">
        <v>45045</v>
      </c>
      <c r="J106">
        <v>2</v>
      </c>
      <c r="K106" t="s">
        <v>17</v>
      </c>
      <c r="L106" t="s">
        <v>18</v>
      </c>
      <c r="M106" t="str">
        <f>IF(Table3[[#This Row],[Age]]&lt;30,"Young",IF(Table3[[#This Row],[Age]]&lt;=40,"Mid","Senior"))</f>
        <v>Senior</v>
      </c>
      <c r="N106" t="str">
        <f>IF(Table3[[#This Row],[Experience]]&lt;3,"Junior",IF(Table3[[#This Row],[Experience]]&lt;=7,"Mid","Senior"))</f>
        <v>Senior</v>
      </c>
      <c r="O106">
        <f>YEAR(Table3[[#This Row],[Joining_Date]])</f>
        <v>2023</v>
      </c>
      <c r="P106" t="str">
        <f>IF(AND(Table3[[#This Row],[Performance]]&lt;=2,Table3[[#This Row],[Attrition]]="No"),"High Risk","Stable")</f>
        <v>High Risk</v>
      </c>
    </row>
    <row r="107" spans="1:16" x14ac:dyDescent="0.25">
      <c r="A107" t="s">
        <v>167</v>
      </c>
      <c r="B107" t="s">
        <v>48</v>
      </c>
      <c r="C107" t="s">
        <v>21</v>
      </c>
      <c r="D107">
        <v>28</v>
      </c>
      <c r="E107" t="s">
        <v>67</v>
      </c>
      <c r="F107" t="s">
        <v>76</v>
      </c>
      <c r="G107">
        <v>59785</v>
      </c>
      <c r="H107">
        <v>7</v>
      </c>
      <c r="I107" s="1">
        <v>45898</v>
      </c>
      <c r="J107">
        <v>2</v>
      </c>
      <c r="K107" t="s">
        <v>17</v>
      </c>
      <c r="L107" t="s">
        <v>39</v>
      </c>
      <c r="M107" t="str">
        <f>IF(Table3[[#This Row],[Age]]&lt;30,"Young",IF(Table3[[#This Row],[Age]]&lt;=40,"Mid","Senior"))</f>
        <v>Young</v>
      </c>
      <c r="N107" t="str">
        <f>IF(Table3[[#This Row],[Experience]]&lt;3,"Junior",IF(Table3[[#This Row],[Experience]]&lt;=7,"Mid","Senior"))</f>
        <v>Mid</v>
      </c>
      <c r="O107">
        <f>YEAR(Table3[[#This Row],[Joining_Date]])</f>
        <v>2025</v>
      </c>
      <c r="P107" t="str">
        <f>IF(AND(Table3[[#This Row],[Performance]]&lt;=2,Table3[[#This Row],[Attrition]]="No"),"High Risk","Stable")</f>
        <v>High Risk</v>
      </c>
    </row>
    <row r="108" spans="1:16" x14ac:dyDescent="0.25">
      <c r="A108" t="s">
        <v>168</v>
      </c>
      <c r="B108" t="s">
        <v>45</v>
      </c>
      <c r="C108" t="s">
        <v>21</v>
      </c>
      <c r="D108">
        <v>30</v>
      </c>
      <c r="E108" t="s">
        <v>24</v>
      </c>
      <c r="F108" t="s">
        <v>124</v>
      </c>
      <c r="G108">
        <v>54001</v>
      </c>
      <c r="H108">
        <v>6</v>
      </c>
      <c r="I108" s="1">
        <v>45892</v>
      </c>
      <c r="J108">
        <v>4</v>
      </c>
      <c r="K108" t="s">
        <v>17</v>
      </c>
      <c r="L108" t="s">
        <v>50</v>
      </c>
      <c r="M108" t="str">
        <f>IF(Table3[[#This Row],[Age]]&lt;30,"Young",IF(Table3[[#This Row],[Age]]&lt;=40,"Mid","Senior"))</f>
        <v>Mid</v>
      </c>
      <c r="N108" t="str">
        <f>IF(Table3[[#This Row],[Experience]]&lt;3,"Junior",IF(Table3[[#This Row],[Experience]]&lt;=7,"Mid","Senior"))</f>
        <v>Mid</v>
      </c>
      <c r="O108">
        <f>YEAR(Table3[[#This Row],[Joining_Date]])</f>
        <v>2025</v>
      </c>
      <c r="P108" t="str">
        <f>IF(AND(Table3[[#This Row],[Performance]]&lt;=2,Table3[[#This Row],[Attrition]]="No"),"High Risk","Stable")</f>
        <v>Stable</v>
      </c>
    </row>
    <row r="109" spans="1:16" x14ac:dyDescent="0.25">
      <c r="A109" t="s">
        <v>169</v>
      </c>
      <c r="B109" t="s">
        <v>13</v>
      </c>
      <c r="C109" t="s">
        <v>14</v>
      </c>
      <c r="D109">
        <v>26</v>
      </c>
      <c r="E109" t="s">
        <v>15</v>
      </c>
      <c r="F109" t="s">
        <v>16</v>
      </c>
      <c r="G109">
        <v>53624</v>
      </c>
      <c r="H109">
        <v>5</v>
      </c>
      <c r="I109" s="1">
        <v>45403</v>
      </c>
      <c r="J109">
        <v>5</v>
      </c>
      <c r="K109" t="s">
        <v>17</v>
      </c>
      <c r="L109" t="s">
        <v>50</v>
      </c>
      <c r="M109" t="str">
        <f>IF(Table3[[#This Row],[Age]]&lt;30,"Young",IF(Table3[[#This Row],[Age]]&lt;=40,"Mid","Senior"))</f>
        <v>Young</v>
      </c>
      <c r="N109" t="str">
        <f>IF(Table3[[#This Row],[Experience]]&lt;3,"Junior",IF(Table3[[#This Row],[Experience]]&lt;=7,"Mid","Senior"))</f>
        <v>Mid</v>
      </c>
      <c r="O109">
        <f>YEAR(Table3[[#This Row],[Joining_Date]])</f>
        <v>2024</v>
      </c>
      <c r="P109" t="str">
        <f>IF(AND(Table3[[#This Row],[Performance]]&lt;=2,Table3[[#This Row],[Attrition]]="No"),"High Risk","Stable")</f>
        <v>Stable</v>
      </c>
    </row>
    <row r="110" spans="1:16" x14ac:dyDescent="0.25">
      <c r="A110" t="s">
        <v>170</v>
      </c>
      <c r="B110" t="s">
        <v>27</v>
      </c>
      <c r="C110" t="s">
        <v>21</v>
      </c>
      <c r="D110">
        <v>22</v>
      </c>
      <c r="E110" t="s">
        <v>34</v>
      </c>
      <c r="F110" t="s">
        <v>41</v>
      </c>
      <c r="G110">
        <v>37870</v>
      </c>
      <c r="H110">
        <v>1</v>
      </c>
      <c r="I110" s="1">
        <v>42537</v>
      </c>
      <c r="J110">
        <v>5</v>
      </c>
      <c r="K110" t="s">
        <v>17</v>
      </c>
      <c r="L110" t="s">
        <v>50</v>
      </c>
      <c r="M110" t="str">
        <f>IF(Table3[[#This Row],[Age]]&lt;30,"Young",IF(Table3[[#This Row],[Age]]&lt;=40,"Mid","Senior"))</f>
        <v>Young</v>
      </c>
      <c r="N110" t="str">
        <f>IF(Table3[[#This Row],[Experience]]&lt;3,"Junior",IF(Table3[[#This Row],[Experience]]&lt;=7,"Mid","Senior"))</f>
        <v>Junior</v>
      </c>
      <c r="O110">
        <f>YEAR(Table3[[#This Row],[Joining_Date]])</f>
        <v>2016</v>
      </c>
      <c r="P110" t="str">
        <f>IF(AND(Table3[[#This Row],[Performance]]&lt;=2,Table3[[#This Row],[Attrition]]="No"),"High Risk","Stable")</f>
        <v>Stable</v>
      </c>
    </row>
    <row r="111" spans="1:16" x14ac:dyDescent="0.25">
      <c r="A111" t="s">
        <v>171</v>
      </c>
      <c r="B111" t="s">
        <v>126</v>
      </c>
      <c r="C111" t="s">
        <v>21</v>
      </c>
      <c r="D111">
        <v>33</v>
      </c>
      <c r="E111" t="s">
        <v>15</v>
      </c>
      <c r="F111" t="s">
        <v>16</v>
      </c>
      <c r="G111">
        <v>67147</v>
      </c>
      <c r="H111">
        <v>7</v>
      </c>
      <c r="I111" s="1">
        <v>43331</v>
      </c>
      <c r="J111">
        <v>1</v>
      </c>
      <c r="K111" t="s">
        <v>42</v>
      </c>
      <c r="L111" t="s">
        <v>31</v>
      </c>
      <c r="M111" t="str">
        <f>IF(Table3[[#This Row],[Age]]&lt;30,"Young",IF(Table3[[#This Row],[Age]]&lt;=40,"Mid","Senior"))</f>
        <v>Mid</v>
      </c>
      <c r="N111" t="str">
        <f>IF(Table3[[#This Row],[Experience]]&lt;3,"Junior",IF(Table3[[#This Row],[Experience]]&lt;=7,"Mid","Senior"))</f>
        <v>Mid</v>
      </c>
      <c r="O111">
        <f>YEAR(Table3[[#This Row],[Joining_Date]])</f>
        <v>2018</v>
      </c>
      <c r="P111" t="str">
        <f>IF(AND(Table3[[#This Row],[Performance]]&lt;=2,Table3[[#This Row],[Attrition]]="No"),"High Risk","Stable")</f>
        <v>Stable</v>
      </c>
    </row>
    <row r="112" spans="1:16" x14ac:dyDescent="0.25">
      <c r="A112" t="s">
        <v>172</v>
      </c>
      <c r="B112" t="s">
        <v>60</v>
      </c>
      <c r="C112" t="s">
        <v>21</v>
      </c>
      <c r="D112">
        <v>37</v>
      </c>
      <c r="E112" t="s">
        <v>34</v>
      </c>
      <c r="F112" t="s">
        <v>52</v>
      </c>
      <c r="G112">
        <v>80747</v>
      </c>
      <c r="H112">
        <v>14</v>
      </c>
      <c r="I112" s="1">
        <v>43487</v>
      </c>
      <c r="J112">
        <v>5</v>
      </c>
      <c r="K112" t="s">
        <v>17</v>
      </c>
      <c r="L112" t="s">
        <v>18</v>
      </c>
      <c r="M112" t="str">
        <f>IF(Table3[[#This Row],[Age]]&lt;30,"Young",IF(Table3[[#This Row],[Age]]&lt;=40,"Mid","Senior"))</f>
        <v>Mid</v>
      </c>
      <c r="N112" t="str">
        <f>IF(Table3[[#This Row],[Experience]]&lt;3,"Junior",IF(Table3[[#This Row],[Experience]]&lt;=7,"Mid","Senior"))</f>
        <v>Senior</v>
      </c>
      <c r="O112">
        <f>YEAR(Table3[[#This Row],[Joining_Date]])</f>
        <v>2019</v>
      </c>
      <c r="P112" t="str">
        <f>IF(AND(Table3[[#This Row],[Performance]]&lt;=2,Table3[[#This Row],[Attrition]]="No"),"High Risk","Stable")</f>
        <v>Stable</v>
      </c>
    </row>
    <row r="113" spans="1:16" x14ac:dyDescent="0.25">
      <c r="A113" t="s">
        <v>173</v>
      </c>
      <c r="B113" t="s">
        <v>101</v>
      </c>
      <c r="C113" t="s">
        <v>14</v>
      </c>
      <c r="D113">
        <v>42</v>
      </c>
      <c r="E113" t="s">
        <v>34</v>
      </c>
      <c r="F113" t="s">
        <v>35</v>
      </c>
      <c r="G113">
        <v>33996</v>
      </c>
      <c r="H113">
        <v>0</v>
      </c>
      <c r="I113" s="1">
        <v>43966</v>
      </c>
      <c r="J113">
        <v>4</v>
      </c>
      <c r="K113" t="s">
        <v>17</v>
      </c>
      <c r="L113" t="s">
        <v>31</v>
      </c>
      <c r="M113" t="str">
        <f>IF(Table3[[#This Row],[Age]]&lt;30,"Young",IF(Table3[[#This Row],[Age]]&lt;=40,"Mid","Senior"))</f>
        <v>Senior</v>
      </c>
      <c r="N113" t="str">
        <f>IF(Table3[[#This Row],[Experience]]&lt;3,"Junior",IF(Table3[[#This Row],[Experience]]&lt;=7,"Mid","Senior"))</f>
        <v>Junior</v>
      </c>
      <c r="O113">
        <f>YEAR(Table3[[#This Row],[Joining_Date]])</f>
        <v>2020</v>
      </c>
      <c r="P113" t="str">
        <f>IF(AND(Table3[[#This Row],[Performance]]&lt;=2,Table3[[#This Row],[Attrition]]="No"),"High Risk","Stable")</f>
        <v>Stable</v>
      </c>
    </row>
    <row r="114" spans="1:16" x14ac:dyDescent="0.25">
      <c r="A114" t="s">
        <v>174</v>
      </c>
      <c r="B114" t="s">
        <v>60</v>
      </c>
      <c r="C114" t="s">
        <v>21</v>
      </c>
      <c r="D114">
        <v>32</v>
      </c>
      <c r="E114" t="s">
        <v>67</v>
      </c>
      <c r="F114" t="s">
        <v>110</v>
      </c>
      <c r="G114">
        <v>46076</v>
      </c>
      <c r="H114">
        <v>4</v>
      </c>
      <c r="I114" s="1">
        <v>42521</v>
      </c>
      <c r="J114">
        <v>3</v>
      </c>
      <c r="K114" t="s">
        <v>17</v>
      </c>
      <c r="L114" t="s">
        <v>43</v>
      </c>
      <c r="M114" t="str">
        <f>IF(Table3[[#This Row],[Age]]&lt;30,"Young",IF(Table3[[#This Row],[Age]]&lt;=40,"Mid","Senior"))</f>
        <v>Mid</v>
      </c>
      <c r="N114" t="str">
        <f>IF(Table3[[#This Row],[Experience]]&lt;3,"Junior",IF(Table3[[#This Row],[Experience]]&lt;=7,"Mid","Senior"))</f>
        <v>Mid</v>
      </c>
      <c r="O114">
        <f>YEAR(Table3[[#This Row],[Joining_Date]])</f>
        <v>2016</v>
      </c>
      <c r="P114" t="str">
        <f>IF(AND(Table3[[#This Row],[Performance]]&lt;=2,Table3[[#This Row],[Attrition]]="No"),"High Risk","Stable")</f>
        <v>Stable</v>
      </c>
    </row>
    <row r="115" spans="1:16" x14ac:dyDescent="0.25">
      <c r="A115" t="s">
        <v>175</v>
      </c>
      <c r="B115" t="s">
        <v>101</v>
      </c>
      <c r="C115" t="s">
        <v>14</v>
      </c>
      <c r="D115">
        <v>38</v>
      </c>
      <c r="E115" t="s">
        <v>24</v>
      </c>
      <c r="F115" t="s">
        <v>49</v>
      </c>
      <c r="G115">
        <v>71124</v>
      </c>
      <c r="H115">
        <v>13</v>
      </c>
      <c r="I115" s="1">
        <v>45253</v>
      </c>
      <c r="J115">
        <v>1</v>
      </c>
      <c r="K115" t="s">
        <v>17</v>
      </c>
      <c r="L115" t="s">
        <v>43</v>
      </c>
      <c r="M115" t="str">
        <f>IF(Table3[[#This Row],[Age]]&lt;30,"Young",IF(Table3[[#This Row],[Age]]&lt;=40,"Mid","Senior"))</f>
        <v>Mid</v>
      </c>
      <c r="N115" t="str">
        <f>IF(Table3[[#This Row],[Experience]]&lt;3,"Junior",IF(Table3[[#This Row],[Experience]]&lt;=7,"Mid","Senior"))</f>
        <v>Senior</v>
      </c>
      <c r="O115">
        <f>YEAR(Table3[[#This Row],[Joining_Date]])</f>
        <v>2023</v>
      </c>
      <c r="P115" t="str">
        <f>IF(AND(Table3[[#This Row],[Performance]]&lt;=2,Table3[[#This Row],[Attrition]]="No"),"High Risk","Stable")</f>
        <v>High Risk</v>
      </c>
    </row>
    <row r="116" spans="1:16" x14ac:dyDescent="0.25">
      <c r="A116" t="s">
        <v>176</v>
      </c>
      <c r="B116" t="s">
        <v>13</v>
      </c>
      <c r="C116" t="s">
        <v>14</v>
      </c>
      <c r="D116">
        <v>35</v>
      </c>
      <c r="E116" t="s">
        <v>34</v>
      </c>
      <c r="F116" t="s">
        <v>52</v>
      </c>
      <c r="G116">
        <v>65430</v>
      </c>
      <c r="H116">
        <v>10</v>
      </c>
      <c r="I116" s="1">
        <v>43638</v>
      </c>
      <c r="J116">
        <v>4</v>
      </c>
      <c r="K116" t="s">
        <v>17</v>
      </c>
      <c r="L116" t="s">
        <v>36</v>
      </c>
      <c r="M116" t="str">
        <f>IF(Table3[[#This Row],[Age]]&lt;30,"Young",IF(Table3[[#This Row],[Age]]&lt;=40,"Mid","Senior"))</f>
        <v>Mid</v>
      </c>
      <c r="N116" t="str">
        <f>IF(Table3[[#This Row],[Experience]]&lt;3,"Junior",IF(Table3[[#This Row],[Experience]]&lt;=7,"Mid","Senior"))</f>
        <v>Senior</v>
      </c>
      <c r="O116">
        <f>YEAR(Table3[[#This Row],[Joining_Date]])</f>
        <v>2019</v>
      </c>
      <c r="P116" t="str">
        <f>IF(AND(Table3[[#This Row],[Performance]]&lt;=2,Table3[[#This Row],[Attrition]]="No"),"High Risk","Stable")</f>
        <v>Stable</v>
      </c>
    </row>
    <row r="117" spans="1:16" x14ac:dyDescent="0.25">
      <c r="A117" t="s">
        <v>177</v>
      </c>
      <c r="B117" t="s">
        <v>48</v>
      </c>
      <c r="C117" t="s">
        <v>14</v>
      </c>
      <c r="D117">
        <v>26</v>
      </c>
      <c r="E117" t="s">
        <v>67</v>
      </c>
      <c r="F117" t="s">
        <v>76</v>
      </c>
      <c r="G117">
        <v>48599</v>
      </c>
      <c r="H117">
        <v>5</v>
      </c>
      <c r="I117" s="1">
        <v>42378</v>
      </c>
      <c r="J117">
        <v>1</v>
      </c>
      <c r="K117" t="s">
        <v>42</v>
      </c>
      <c r="L117" t="s">
        <v>31</v>
      </c>
      <c r="M117" t="str">
        <f>IF(Table3[[#This Row],[Age]]&lt;30,"Young",IF(Table3[[#This Row],[Age]]&lt;=40,"Mid","Senior"))</f>
        <v>Young</v>
      </c>
      <c r="N117" t="str">
        <f>IF(Table3[[#This Row],[Experience]]&lt;3,"Junior",IF(Table3[[#This Row],[Experience]]&lt;=7,"Mid","Senior"))</f>
        <v>Mid</v>
      </c>
      <c r="O117">
        <f>YEAR(Table3[[#This Row],[Joining_Date]])</f>
        <v>2016</v>
      </c>
      <c r="P117" t="str">
        <f>IF(AND(Table3[[#This Row],[Performance]]&lt;=2,Table3[[#This Row],[Attrition]]="No"),"High Risk","Stable")</f>
        <v>Stable</v>
      </c>
    </row>
    <row r="118" spans="1:16" x14ac:dyDescent="0.25">
      <c r="A118" t="s">
        <v>178</v>
      </c>
      <c r="B118" t="s">
        <v>66</v>
      </c>
      <c r="C118" t="s">
        <v>21</v>
      </c>
      <c r="D118">
        <v>39</v>
      </c>
      <c r="E118" t="s">
        <v>24</v>
      </c>
      <c r="F118" t="s">
        <v>46</v>
      </c>
      <c r="G118">
        <v>72977</v>
      </c>
      <c r="H118">
        <v>10</v>
      </c>
      <c r="I118" s="1">
        <v>42505</v>
      </c>
      <c r="J118">
        <v>4</v>
      </c>
      <c r="K118" t="s">
        <v>17</v>
      </c>
      <c r="L118" t="s">
        <v>39</v>
      </c>
      <c r="M118" t="str">
        <f>IF(Table3[[#This Row],[Age]]&lt;30,"Young",IF(Table3[[#This Row],[Age]]&lt;=40,"Mid","Senior"))</f>
        <v>Mid</v>
      </c>
      <c r="N118" t="str">
        <f>IF(Table3[[#This Row],[Experience]]&lt;3,"Junior",IF(Table3[[#This Row],[Experience]]&lt;=7,"Mid","Senior"))</f>
        <v>Senior</v>
      </c>
      <c r="O118">
        <f>YEAR(Table3[[#This Row],[Joining_Date]])</f>
        <v>2016</v>
      </c>
      <c r="P118" t="str">
        <f>IF(AND(Table3[[#This Row],[Performance]]&lt;=2,Table3[[#This Row],[Attrition]]="No"),"High Risk","Stable")</f>
        <v>Stable</v>
      </c>
    </row>
    <row r="119" spans="1:16" x14ac:dyDescent="0.25">
      <c r="A119" t="s">
        <v>179</v>
      </c>
      <c r="B119" t="s">
        <v>27</v>
      </c>
      <c r="C119" t="s">
        <v>14</v>
      </c>
      <c r="D119">
        <v>31</v>
      </c>
      <c r="E119" t="s">
        <v>67</v>
      </c>
      <c r="F119" t="s">
        <v>97</v>
      </c>
      <c r="G119">
        <v>61697</v>
      </c>
      <c r="H119">
        <v>10</v>
      </c>
      <c r="I119" s="1">
        <v>44372</v>
      </c>
      <c r="J119">
        <v>5</v>
      </c>
      <c r="K119" t="s">
        <v>17</v>
      </c>
      <c r="L119" t="s">
        <v>39</v>
      </c>
      <c r="M119" t="str">
        <f>IF(Table3[[#This Row],[Age]]&lt;30,"Young",IF(Table3[[#This Row],[Age]]&lt;=40,"Mid","Senior"))</f>
        <v>Mid</v>
      </c>
      <c r="N119" t="str">
        <f>IF(Table3[[#This Row],[Experience]]&lt;3,"Junior",IF(Table3[[#This Row],[Experience]]&lt;=7,"Mid","Senior"))</f>
        <v>Senior</v>
      </c>
      <c r="O119">
        <f>YEAR(Table3[[#This Row],[Joining_Date]])</f>
        <v>2021</v>
      </c>
      <c r="P119" t="str">
        <f>IF(AND(Table3[[#This Row],[Performance]]&lt;=2,Table3[[#This Row],[Attrition]]="No"),"High Risk","Stable")</f>
        <v>Stable</v>
      </c>
    </row>
    <row r="120" spans="1:16" x14ac:dyDescent="0.25">
      <c r="A120" t="s">
        <v>180</v>
      </c>
      <c r="B120" t="s">
        <v>48</v>
      </c>
      <c r="C120" t="s">
        <v>21</v>
      </c>
      <c r="D120">
        <v>39</v>
      </c>
      <c r="E120" t="s">
        <v>67</v>
      </c>
      <c r="F120" t="s">
        <v>68</v>
      </c>
      <c r="G120">
        <v>64382</v>
      </c>
      <c r="H120">
        <v>11</v>
      </c>
      <c r="I120" s="1">
        <v>45128</v>
      </c>
      <c r="J120">
        <v>3</v>
      </c>
      <c r="K120" t="s">
        <v>17</v>
      </c>
      <c r="L120" t="s">
        <v>18</v>
      </c>
      <c r="M120" t="str">
        <f>IF(Table3[[#This Row],[Age]]&lt;30,"Young",IF(Table3[[#This Row],[Age]]&lt;=40,"Mid","Senior"))</f>
        <v>Mid</v>
      </c>
      <c r="N120" t="str">
        <f>IF(Table3[[#This Row],[Experience]]&lt;3,"Junior",IF(Table3[[#This Row],[Experience]]&lt;=7,"Mid","Senior"))</f>
        <v>Senior</v>
      </c>
      <c r="O120">
        <f>YEAR(Table3[[#This Row],[Joining_Date]])</f>
        <v>2023</v>
      </c>
      <c r="P120" t="str">
        <f>IF(AND(Table3[[#This Row],[Performance]]&lt;=2,Table3[[#This Row],[Attrition]]="No"),"High Risk","Stable")</f>
        <v>Stable</v>
      </c>
    </row>
    <row r="121" spans="1:16" x14ac:dyDescent="0.25">
      <c r="A121" t="s">
        <v>181</v>
      </c>
      <c r="B121" t="s">
        <v>126</v>
      </c>
      <c r="C121" t="s">
        <v>14</v>
      </c>
      <c r="D121">
        <v>27</v>
      </c>
      <c r="E121" t="s">
        <v>15</v>
      </c>
      <c r="F121" t="s">
        <v>30</v>
      </c>
      <c r="G121">
        <v>66513</v>
      </c>
      <c r="H121">
        <v>6</v>
      </c>
      <c r="I121" s="1">
        <v>45127</v>
      </c>
      <c r="J121">
        <v>3</v>
      </c>
      <c r="K121" t="s">
        <v>17</v>
      </c>
      <c r="L121" t="s">
        <v>36</v>
      </c>
      <c r="M121" t="str">
        <f>IF(Table3[[#This Row],[Age]]&lt;30,"Young",IF(Table3[[#This Row],[Age]]&lt;=40,"Mid","Senior"))</f>
        <v>Young</v>
      </c>
      <c r="N121" t="str">
        <f>IF(Table3[[#This Row],[Experience]]&lt;3,"Junior",IF(Table3[[#This Row],[Experience]]&lt;=7,"Mid","Senior"))</f>
        <v>Mid</v>
      </c>
      <c r="O121">
        <f>YEAR(Table3[[#This Row],[Joining_Date]])</f>
        <v>2023</v>
      </c>
      <c r="P121" t="str">
        <f>IF(AND(Table3[[#This Row],[Performance]]&lt;=2,Table3[[#This Row],[Attrition]]="No"),"High Risk","Stable")</f>
        <v>Stable</v>
      </c>
    </row>
    <row r="122" spans="1:16" x14ac:dyDescent="0.25">
      <c r="A122" t="s">
        <v>182</v>
      </c>
      <c r="B122" t="s">
        <v>66</v>
      </c>
      <c r="C122" t="s">
        <v>21</v>
      </c>
      <c r="D122">
        <v>43</v>
      </c>
      <c r="E122" t="s">
        <v>15</v>
      </c>
      <c r="F122" t="s">
        <v>80</v>
      </c>
      <c r="G122">
        <v>71140</v>
      </c>
      <c r="H122">
        <v>12</v>
      </c>
      <c r="I122" s="1">
        <v>42586</v>
      </c>
      <c r="J122">
        <v>1</v>
      </c>
      <c r="K122" t="s">
        <v>42</v>
      </c>
      <c r="L122" t="s">
        <v>43</v>
      </c>
      <c r="M122" t="str">
        <f>IF(Table3[[#This Row],[Age]]&lt;30,"Young",IF(Table3[[#This Row],[Age]]&lt;=40,"Mid","Senior"))</f>
        <v>Senior</v>
      </c>
      <c r="N122" t="str">
        <f>IF(Table3[[#This Row],[Experience]]&lt;3,"Junior",IF(Table3[[#This Row],[Experience]]&lt;=7,"Mid","Senior"))</f>
        <v>Senior</v>
      </c>
      <c r="O122">
        <f>YEAR(Table3[[#This Row],[Joining_Date]])</f>
        <v>2016</v>
      </c>
      <c r="P122" t="str">
        <f>IF(AND(Table3[[#This Row],[Performance]]&lt;=2,Table3[[#This Row],[Attrition]]="No"),"High Risk","Stable")</f>
        <v>Stable</v>
      </c>
    </row>
    <row r="123" spans="1:16" x14ac:dyDescent="0.25">
      <c r="A123" t="s">
        <v>183</v>
      </c>
      <c r="B123" t="s">
        <v>101</v>
      </c>
      <c r="C123" t="s">
        <v>14</v>
      </c>
      <c r="D123">
        <v>32</v>
      </c>
      <c r="E123" t="s">
        <v>34</v>
      </c>
      <c r="F123" t="s">
        <v>52</v>
      </c>
      <c r="G123">
        <v>51562</v>
      </c>
      <c r="H123">
        <v>5</v>
      </c>
      <c r="I123" s="1">
        <v>43281</v>
      </c>
      <c r="J123">
        <v>3</v>
      </c>
      <c r="K123" t="s">
        <v>17</v>
      </c>
      <c r="L123" t="s">
        <v>43</v>
      </c>
      <c r="M123" t="str">
        <f>IF(Table3[[#This Row],[Age]]&lt;30,"Young",IF(Table3[[#This Row],[Age]]&lt;=40,"Mid","Senior"))</f>
        <v>Mid</v>
      </c>
      <c r="N123" t="str">
        <f>IF(Table3[[#This Row],[Experience]]&lt;3,"Junior",IF(Table3[[#This Row],[Experience]]&lt;=7,"Mid","Senior"))</f>
        <v>Mid</v>
      </c>
      <c r="O123">
        <f>YEAR(Table3[[#This Row],[Joining_Date]])</f>
        <v>2018</v>
      </c>
      <c r="P123" t="str">
        <f>IF(AND(Table3[[#This Row],[Performance]]&lt;=2,Table3[[#This Row],[Attrition]]="No"),"High Risk","Stable")</f>
        <v>Stable</v>
      </c>
    </row>
    <row r="124" spans="1:16" x14ac:dyDescent="0.25">
      <c r="A124" t="s">
        <v>184</v>
      </c>
      <c r="B124" t="s">
        <v>91</v>
      </c>
      <c r="C124" t="s">
        <v>21</v>
      </c>
      <c r="D124">
        <v>41</v>
      </c>
      <c r="E124" t="s">
        <v>15</v>
      </c>
      <c r="F124" t="s">
        <v>16</v>
      </c>
      <c r="G124">
        <v>53542</v>
      </c>
      <c r="H124">
        <v>1</v>
      </c>
      <c r="I124" s="1">
        <v>42339</v>
      </c>
      <c r="J124">
        <v>3</v>
      </c>
      <c r="K124" t="s">
        <v>17</v>
      </c>
      <c r="L124" t="s">
        <v>18</v>
      </c>
      <c r="M124" t="str">
        <f>IF(Table3[[#This Row],[Age]]&lt;30,"Young",IF(Table3[[#This Row],[Age]]&lt;=40,"Mid","Senior"))</f>
        <v>Senior</v>
      </c>
      <c r="N124" t="str">
        <f>IF(Table3[[#This Row],[Experience]]&lt;3,"Junior",IF(Table3[[#This Row],[Experience]]&lt;=7,"Mid","Senior"))</f>
        <v>Junior</v>
      </c>
      <c r="O124">
        <f>YEAR(Table3[[#This Row],[Joining_Date]])</f>
        <v>2015</v>
      </c>
      <c r="P124" t="str">
        <f>IF(AND(Table3[[#This Row],[Performance]]&lt;=2,Table3[[#This Row],[Attrition]]="No"),"High Risk","Stable")</f>
        <v>Stable</v>
      </c>
    </row>
    <row r="125" spans="1:16" x14ac:dyDescent="0.25">
      <c r="A125" t="s">
        <v>185</v>
      </c>
      <c r="B125" t="s">
        <v>33</v>
      </c>
      <c r="C125" t="s">
        <v>14</v>
      </c>
      <c r="D125">
        <v>28</v>
      </c>
      <c r="E125" t="s">
        <v>67</v>
      </c>
      <c r="F125" t="s">
        <v>110</v>
      </c>
      <c r="G125">
        <v>48155</v>
      </c>
      <c r="H125">
        <v>3</v>
      </c>
      <c r="I125" s="1">
        <v>43765</v>
      </c>
      <c r="J125">
        <v>1</v>
      </c>
      <c r="K125" t="s">
        <v>42</v>
      </c>
      <c r="L125" t="s">
        <v>39</v>
      </c>
      <c r="M125" t="str">
        <f>IF(Table3[[#This Row],[Age]]&lt;30,"Young",IF(Table3[[#This Row],[Age]]&lt;=40,"Mid","Senior"))</f>
        <v>Young</v>
      </c>
      <c r="N125" t="str">
        <f>IF(Table3[[#This Row],[Experience]]&lt;3,"Junior",IF(Table3[[#This Row],[Experience]]&lt;=7,"Mid","Senior"))</f>
        <v>Mid</v>
      </c>
      <c r="O125">
        <f>YEAR(Table3[[#This Row],[Joining_Date]])</f>
        <v>2019</v>
      </c>
      <c r="P125" t="str">
        <f>IF(AND(Table3[[#This Row],[Performance]]&lt;=2,Table3[[#This Row],[Attrition]]="No"),"High Risk","Stable")</f>
        <v>Stable</v>
      </c>
    </row>
    <row r="126" spans="1:16" x14ac:dyDescent="0.25">
      <c r="A126" t="s">
        <v>186</v>
      </c>
      <c r="B126" t="s">
        <v>13</v>
      </c>
      <c r="C126" t="s">
        <v>21</v>
      </c>
      <c r="D126">
        <v>34</v>
      </c>
      <c r="E126" t="s">
        <v>67</v>
      </c>
      <c r="F126" t="s">
        <v>76</v>
      </c>
      <c r="G126">
        <v>37625</v>
      </c>
      <c r="H126">
        <v>1</v>
      </c>
      <c r="I126" s="1">
        <v>42842</v>
      </c>
      <c r="J126">
        <v>3</v>
      </c>
      <c r="K126" t="s">
        <v>17</v>
      </c>
      <c r="L126" t="s">
        <v>50</v>
      </c>
      <c r="M126" t="str">
        <f>IF(Table3[[#This Row],[Age]]&lt;30,"Young",IF(Table3[[#This Row],[Age]]&lt;=40,"Mid","Senior"))</f>
        <v>Mid</v>
      </c>
      <c r="N126" t="str">
        <f>IF(Table3[[#This Row],[Experience]]&lt;3,"Junior",IF(Table3[[#This Row],[Experience]]&lt;=7,"Mid","Senior"))</f>
        <v>Junior</v>
      </c>
      <c r="O126">
        <f>YEAR(Table3[[#This Row],[Joining_Date]])</f>
        <v>2017</v>
      </c>
      <c r="P126" t="str">
        <f>IF(AND(Table3[[#This Row],[Performance]]&lt;=2,Table3[[#This Row],[Attrition]]="No"),"High Risk","Stable")</f>
        <v>Stable</v>
      </c>
    </row>
    <row r="127" spans="1:16" x14ac:dyDescent="0.25">
      <c r="A127" t="s">
        <v>187</v>
      </c>
      <c r="B127" t="s">
        <v>63</v>
      </c>
      <c r="C127" t="s">
        <v>14</v>
      </c>
      <c r="D127">
        <v>22</v>
      </c>
      <c r="E127" t="s">
        <v>24</v>
      </c>
      <c r="F127" t="s">
        <v>124</v>
      </c>
      <c r="G127">
        <v>51739</v>
      </c>
      <c r="H127">
        <v>1</v>
      </c>
      <c r="I127" s="1">
        <v>43768</v>
      </c>
      <c r="J127">
        <v>2</v>
      </c>
      <c r="K127" t="s">
        <v>42</v>
      </c>
      <c r="L127" t="s">
        <v>43</v>
      </c>
      <c r="M127" t="str">
        <f>IF(Table3[[#This Row],[Age]]&lt;30,"Young",IF(Table3[[#This Row],[Age]]&lt;=40,"Mid","Senior"))</f>
        <v>Young</v>
      </c>
      <c r="N127" t="str">
        <f>IF(Table3[[#This Row],[Experience]]&lt;3,"Junior",IF(Table3[[#This Row],[Experience]]&lt;=7,"Mid","Senior"))</f>
        <v>Junior</v>
      </c>
      <c r="O127">
        <f>YEAR(Table3[[#This Row],[Joining_Date]])</f>
        <v>2019</v>
      </c>
      <c r="P127" t="str">
        <f>IF(AND(Table3[[#This Row],[Performance]]&lt;=2,Table3[[#This Row],[Attrition]]="No"),"High Risk","Stable")</f>
        <v>Stable</v>
      </c>
    </row>
    <row r="128" spans="1:16" x14ac:dyDescent="0.25">
      <c r="A128" t="s">
        <v>188</v>
      </c>
      <c r="B128" t="s">
        <v>45</v>
      </c>
      <c r="C128" t="s">
        <v>21</v>
      </c>
      <c r="D128">
        <v>45</v>
      </c>
      <c r="E128" t="s">
        <v>34</v>
      </c>
      <c r="F128" t="s">
        <v>41</v>
      </c>
      <c r="G128">
        <v>42647</v>
      </c>
      <c r="H128">
        <v>1</v>
      </c>
      <c r="I128" s="1">
        <v>42081</v>
      </c>
      <c r="J128">
        <v>4</v>
      </c>
      <c r="K128" t="s">
        <v>17</v>
      </c>
      <c r="L128" t="s">
        <v>36</v>
      </c>
      <c r="M128" t="str">
        <f>IF(Table3[[#This Row],[Age]]&lt;30,"Young",IF(Table3[[#This Row],[Age]]&lt;=40,"Mid","Senior"))</f>
        <v>Senior</v>
      </c>
      <c r="N128" t="str">
        <f>IF(Table3[[#This Row],[Experience]]&lt;3,"Junior",IF(Table3[[#This Row],[Experience]]&lt;=7,"Mid","Senior"))</f>
        <v>Junior</v>
      </c>
      <c r="O128">
        <f>YEAR(Table3[[#This Row],[Joining_Date]])</f>
        <v>2015</v>
      </c>
      <c r="P128" t="str">
        <f>IF(AND(Table3[[#This Row],[Performance]]&lt;=2,Table3[[#This Row],[Attrition]]="No"),"High Risk","Stable")</f>
        <v>Stable</v>
      </c>
    </row>
    <row r="129" spans="1:16" x14ac:dyDescent="0.25">
      <c r="A129" t="s">
        <v>189</v>
      </c>
      <c r="B129" t="s">
        <v>56</v>
      </c>
      <c r="C129" t="s">
        <v>14</v>
      </c>
      <c r="D129">
        <v>25</v>
      </c>
      <c r="E129" t="s">
        <v>67</v>
      </c>
      <c r="F129" t="s">
        <v>110</v>
      </c>
      <c r="G129">
        <v>45341</v>
      </c>
      <c r="H129">
        <v>4</v>
      </c>
      <c r="I129" s="1">
        <v>45962</v>
      </c>
      <c r="J129">
        <v>3</v>
      </c>
      <c r="K129" t="s">
        <v>17</v>
      </c>
      <c r="L129" t="s">
        <v>43</v>
      </c>
      <c r="M129" t="str">
        <f>IF(Table3[[#This Row],[Age]]&lt;30,"Young",IF(Table3[[#This Row],[Age]]&lt;=40,"Mid","Senior"))</f>
        <v>Young</v>
      </c>
      <c r="N129" t="str">
        <f>IF(Table3[[#This Row],[Experience]]&lt;3,"Junior",IF(Table3[[#This Row],[Experience]]&lt;=7,"Mid","Senior"))</f>
        <v>Mid</v>
      </c>
      <c r="O129">
        <f>YEAR(Table3[[#This Row],[Joining_Date]])</f>
        <v>2025</v>
      </c>
      <c r="P129" t="str">
        <f>IF(AND(Table3[[#This Row],[Performance]]&lt;=2,Table3[[#This Row],[Attrition]]="No"),"High Risk","Stable")</f>
        <v>Stable</v>
      </c>
    </row>
    <row r="130" spans="1:16" x14ac:dyDescent="0.25">
      <c r="A130" t="s">
        <v>190</v>
      </c>
      <c r="B130" t="s">
        <v>23</v>
      </c>
      <c r="C130" t="s">
        <v>21</v>
      </c>
      <c r="D130">
        <v>25</v>
      </c>
      <c r="E130" t="s">
        <v>67</v>
      </c>
      <c r="F130" t="s">
        <v>76</v>
      </c>
      <c r="G130">
        <v>52138</v>
      </c>
      <c r="H130">
        <v>4</v>
      </c>
      <c r="I130" s="1">
        <v>44417</v>
      </c>
      <c r="J130">
        <v>4</v>
      </c>
      <c r="K130" t="s">
        <v>17</v>
      </c>
      <c r="L130" t="s">
        <v>18</v>
      </c>
      <c r="M130" t="str">
        <f>IF(Table3[[#This Row],[Age]]&lt;30,"Young",IF(Table3[[#This Row],[Age]]&lt;=40,"Mid","Senior"))</f>
        <v>Young</v>
      </c>
      <c r="N130" t="str">
        <f>IF(Table3[[#This Row],[Experience]]&lt;3,"Junior",IF(Table3[[#This Row],[Experience]]&lt;=7,"Mid","Senior"))</f>
        <v>Mid</v>
      </c>
      <c r="O130">
        <f>YEAR(Table3[[#This Row],[Joining_Date]])</f>
        <v>2021</v>
      </c>
      <c r="P130" t="str">
        <f>IF(AND(Table3[[#This Row],[Performance]]&lt;=2,Table3[[#This Row],[Attrition]]="No"),"High Risk","Stable")</f>
        <v>Stable</v>
      </c>
    </row>
    <row r="131" spans="1:16" x14ac:dyDescent="0.25">
      <c r="A131" t="s">
        <v>191</v>
      </c>
      <c r="B131" t="s">
        <v>54</v>
      </c>
      <c r="C131" t="s">
        <v>21</v>
      </c>
      <c r="D131">
        <v>27</v>
      </c>
      <c r="E131" t="s">
        <v>24</v>
      </c>
      <c r="F131" t="s">
        <v>124</v>
      </c>
      <c r="G131">
        <v>50363</v>
      </c>
      <c r="H131">
        <v>2</v>
      </c>
      <c r="I131" s="1">
        <v>44598</v>
      </c>
      <c r="J131">
        <v>1</v>
      </c>
      <c r="K131" t="s">
        <v>17</v>
      </c>
      <c r="L131" t="s">
        <v>36</v>
      </c>
      <c r="M131" t="str">
        <f>IF(Table3[[#This Row],[Age]]&lt;30,"Young",IF(Table3[[#This Row],[Age]]&lt;=40,"Mid","Senior"))</f>
        <v>Young</v>
      </c>
      <c r="N131" t="str">
        <f>IF(Table3[[#This Row],[Experience]]&lt;3,"Junior",IF(Table3[[#This Row],[Experience]]&lt;=7,"Mid","Senior"))</f>
        <v>Junior</v>
      </c>
      <c r="O131">
        <f>YEAR(Table3[[#This Row],[Joining_Date]])</f>
        <v>2022</v>
      </c>
      <c r="P131" t="str">
        <f>IF(AND(Table3[[#This Row],[Performance]]&lt;=2,Table3[[#This Row],[Attrition]]="No"),"High Risk","Stable")</f>
        <v>High Risk</v>
      </c>
    </row>
    <row r="132" spans="1:16" x14ac:dyDescent="0.25">
      <c r="A132" t="s">
        <v>192</v>
      </c>
      <c r="B132" t="s">
        <v>63</v>
      </c>
      <c r="C132" t="s">
        <v>21</v>
      </c>
      <c r="D132">
        <v>26</v>
      </c>
      <c r="E132" t="s">
        <v>24</v>
      </c>
      <c r="F132" t="s">
        <v>46</v>
      </c>
      <c r="G132">
        <v>52732</v>
      </c>
      <c r="H132">
        <v>5</v>
      </c>
      <c r="I132" s="1">
        <v>42715</v>
      </c>
      <c r="J132">
        <v>5</v>
      </c>
      <c r="K132" t="s">
        <v>17</v>
      </c>
      <c r="L132" t="s">
        <v>39</v>
      </c>
      <c r="M132" t="str">
        <f>IF(Table3[[#This Row],[Age]]&lt;30,"Young",IF(Table3[[#This Row],[Age]]&lt;=40,"Mid","Senior"))</f>
        <v>Young</v>
      </c>
      <c r="N132" t="str">
        <f>IF(Table3[[#This Row],[Experience]]&lt;3,"Junior",IF(Table3[[#This Row],[Experience]]&lt;=7,"Mid","Senior"))</f>
        <v>Mid</v>
      </c>
      <c r="O132">
        <f>YEAR(Table3[[#This Row],[Joining_Date]])</f>
        <v>2016</v>
      </c>
      <c r="P132" t="str">
        <f>IF(AND(Table3[[#This Row],[Performance]]&lt;=2,Table3[[#This Row],[Attrition]]="No"),"High Risk","Stable")</f>
        <v>Stable</v>
      </c>
    </row>
    <row r="133" spans="1:16" x14ac:dyDescent="0.25">
      <c r="A133" t="s">
        <v>193</v>
      </c>
      <c r="B133" t="s">
        <v>101</v>
      </c>
      <c r="C133" t="s">
        <v>14</v>
      </c>
      <c r="D133">
        <v>40</v>
      </c>
      <c r="E133" t="s">
        <v>15</v>
      </c>
      <c r="F133" t="s">
        <v>80</v>
      </c>
      <c r="G133">
        <v>86159</v>
      </c>
      <c r="H133">
        <v>14</v>
      </c>
      <c r="I133" s="1">
        <v>45790</v>
      </c>
      <c r="J133">
        <v>5</v>
      </c>
      <c r="K133" t="s">
        <v>17</v>
      </c>
      <c r="L133" t="s">
        <v>43</v>
      </c>
      <c r="M133" t="str">
        <f>IF(Table3[[#This Row],[Age]]&lt;30,"Young",IF(Table3[[#This Row],[Age]]&lt;=40,"Mid","Senior"))</f>
        <v>Mid</v>
      </c>
      <c r="N133" t="str">
        <f>IF(Table3[[#This Row],[Experience]]&lt;3,"Junior",IF(Table3[[#This Row],[Experience]]&lt;=7,"Mid","Senior"))</f>
        <v>Senior</v>
      </c>
      <c r="O133">
        <f>YEAR(Table3[[#This Row],[Joining_Date]])</f>
        <v>2025</v>
      </c>
      <c r="P133" t="str">
        <f>IF(AND(Table3[[#This Row],[Performance]]&lt;=2,Table3[[#This Row],[Attrition]]="No"),"High Risk","Stable")</f>
        <v>Stable</v>
      </c>
    </row>
    <row r="134" spans="1:16" x14ac:dyDescent="0.25">
      <c r="A134" t="s">
        <v>194</v>
      </c>
      <c r="B134" t="s">
        <v>101</v>
      </c>
      <c r="C134" t="s">
        <v>21</v>
      </c>
      <c r="D134">
        <v>24</v>
      </c>
      <c r="E134" t="s">
        <v>24</v>
      </c>
      <c r="F134" t="s">
        <v>124</v>
      </c>
      <c r="G134">
        <v>51745</v>
      </c>
      <c r="H134">
        <v>3</v>
      </c>
      <c r="I134" s="1">
        <v>44591</v>
      </c>
      <c r="J134">
        <v>3</v>
      </c>
      <c r="K134" t="s">
        <v>17</v>
      </c>
      <c r="L134" t="s">
        <v>43</v>
      </c>
      <c r="M134" t="str">
        <f>IF(Table3[[#This Row],[Age]]&lt;30,"Young",IF(Table3[[#This Row],[Age]]&lt;=40,"Mid","Senior"))</f>
        <v>Young</v>
      </c>
      <c r="N134" t="str">
        <f>IF(Table3[[#This Row],[Experience]]&lt;3,"Junior",IF(Table3[[#This Row],[Experience]]&lt;=7,"Mid","Senior"))</f>
        <v>Mid</v>
      </c>
      <c r="O134">
        <f>YEAR(Table3[[#This Row],[Joining_Date]])</f>
        <v>2022</v>
      </c>
      <c r="P134" t="str">
        <f>IF(AND(Table3[[#This Row],[Performance]]&lt;=2,Table3[[#This Row],[Attrition]]="No"),"High Risk","Stable")</f>
        <v>Stable</v>
      </c>
    </row>
    <row r="135" spans="1:16" x14ac:dyDescent="0.25">
      <c r="A135" t="s">
        <v>195</v>
      </c>
      <c r="B135" t="s">
        <v>56</v>
      </c>
      <c r="C135" t="s">
        <v>21</v>
      </c>
      <c r="D135">
        <v>36</v>
      </c>
      <c r="E135" t="s">
        <v>15</v>
      </c>
      <c r="F135" t="s">
        <v>28</v>
      </c>
      <c r="G135">
        <v>75616</v>
      </c>
      <c r="H135">
        <v>14</v>
      </c>
      <c r="I135" s="1">
        <v>42238</v>
      </c>
      <c r="J135">
        <v>3</v>
      </c>
      <c r="K135" t="s">
        <v>17</v>
      </c>
      <c r="L135" t="s">
        <v>31</v>
      </c>
      <c r="M135" t="str">
        <f>IF(Table3[[#This Row],[Age]]&lt;30,"Young",IF(Table3[[#This Row],[Age]]&lt;=40,"Mid","Senior"))</f>
        <v>Mid</v>
      </c>
      <c r="N135" t="str">
        <f>IF(Table3[[#This Row],[Experience]]&lt;3,"Junior",IF(Table3[[#This Row],[Experience]]&lt;=7,"Mid","Senior"))</f>
        <v>Senior</v>
      </c>
      <c r="O135">
        <f>YEAR(Table3[[#This Row],[Joining_Date]])</f>
        <v>2015</v>
      </c>
      <c r="P135" t="str">
        <f>IF(AND(Table3[[#This Row],[Performance]]&lt;=2,Table3[[#This Row],[Attrition]]="No"),"High Risk","Stable")</f>
        <v>Stable</v>
      </c>
    </row>
    <row r="136" spans="1:16" x14ac:dyDescent="0.25">
      <c r="A136" t="s">
        <v>196</v>
      </c>
      <c r="B136" t="s">
        <v>101</v>
      </c>
      <c r="C136" t="s">
        <v>14</v>
      </c>
      <c r="D136">
        <v>40</v>
      </c>
      <c r="E136" t="s">
        <v>15</v>
      </c>
      <c r="F136" t="s">
        <v>30</v>
      </c>
      <c r="G136">
        <v>49868</v>
      </c>
      <c r="H136">
        <v>1</v>
      </c>
      <c r="I136" s="1">
        <v>45728</v>
      </c>
      <c r="J136">
        <v>5</v>
      </c>
      <c r="K136" t="s">
        <v>17</v>
      </c>
      <c r="L136" t="s">
        <v>36</v>
      </c>
      <c r="M136" t="str">
        <f>IF(Table3[[#This Row],[Age]]&lt;30,"Young",IF(Table3[[#This Row],[Age]]&lt;=40,"Mid","Senior"))</f>
        <v>Mid</v>
      </c>
      <c r="N136" t="str">
        <f>IF(Table3[[#This Row],[Experience]]&lt;3,"Junior",IF(Table3[[#This Row],[Experience]]&lt;=7,"Mid","Senior"))</f>
        <v>Junior</v>
      </c>
      <c r="O136">
        <f>YEAR(Table3[[#This Row],[Joining_Date]])</f>
        <v>2025</v>
      </c>
      <c r="P136" t="str">
        <f>IF(AND(Table3[[#This Row],[Performance]]&lt;=2,Table3[[#This Row],[Attrition]]="No"),"High Risk","Stable")</f>
        <v>Stable</v>
      </c>
    </row>
    <row r="137" spans="1:16" x14ac:dyDescent="0.25">
      <c r="A137" t="s">
        <v>197</v>
      </c>
      <c r="B137" t="s">
        <v>101</v>
      </c>
      <c r="C137" t="s">
        <v>21</v>
      </c>
      <c r="D137">
        <v>25</v>
      </c>
      <c r="E137" t="s">
        <v>67</v>
      </c>
      <c r="F137" t="s">
        <v>68</v>
      </c>
      <c r="G137">
        <v>56703</v>
      </c>
      <c r="H137">
        <v>4</v>
      </c>
      <c r="I137" s="1">
        <v>42350</v>
      </c>
      <c r="J137">
        <v>5</v>
      </c>
      <c r="K137" t="s">
        <v>17</v>
      </c>
      <c r="L137" t="s">
        <v>31</v>
      </c>
      <c r="M137" t="str">
        <f>IF(Table3[[#This Row],[Age]]&lt;30,"Young",IF(Table3[[#This Row],[Age]]&lt;=40,"Mid","Senior"))</f>
        <v>Young</v>
      </c>
      <c r="N137" t="str">
        <f>IF(Table3[[#This Row],[Experience]]&lt;3,"Junior",IF(Table3[[#This Row],[Experience]]&lt;=7,"Mid","Senior"))</f>
        <v>Mid</v>
      </c>
      <c r="O137">
        <f>YEAR(Table3[[#This Row],[Joining_Date]])</f>
        <v>2015</v>
      </c>
      <c r="P137" t="str">
        <f>IF(AND(Table3[[#This Row],[Performance]]&lt;=2,Table3[[#This Row],[Attrition]]="No"),"High Risk","Stable")</f>
        <v>Stable</v>
      </c>
    </row>
    <row r="138" spans="1:16" x14ac:dyDescent="0.25">
      <c r="A138" t="s">
        <v>198</v>
      </c>
      <c r="B138" t="s">
        <v>199</v>
      </c>
      <c r="C138" t="s">
        <v>14</v>
      </c>
      <c r="D138">
        <v>38</v>
      </c>
      <c r="E138" t="s">
        <v>34</v>
      </c>
      <c r="F138" t="s">
        <v>52</v>
      </c>
      <c r="G138">
        <v>51462</v>
      </c>
      <c r="H138">
        <v>5</v>
      </c>
      <c r="I138" s="1">
        <v>43532</v>
      </c>
      <c r="J138">
        <v>3</v>
      </c>
      <c r="K138" t="s">
        <v>17</v>
      </c>
      <c r="L138" t="s">
        <v>36</v>
      </c>
      <c r="M138" t="str">
        <f>IF(Table3[[#This Row],[Age]]&lt;30,"Young",IF(Table3[[#This Row],[Age]]&lt;=40,"Mid","Senior"))</f>
        <v>Mid</v>
      </c>
      <c r="N138" t="str">
        <f>IF(Table3[[#This Row],[Experience]]&lt;3,"Junior",IF(Table3[[#This Row],[Experience]]&lt;=7,"Mid","Senior"))</f>
        <v>Mid</v>
      </c>
      <c r="O138">
        <f>YEAR(Table3[[#This Row],[Joining_Date]])</f>
        <v>2019</v>
      </c>
      <c r="P138" t="str">
        <f>IF(AND(Table3[[#This Row],[Performance]]&lt;=2,Table3[[#This Row],[Attrition]]="No"),"High Risk","Stable")</f>
        <v>Stable</v>
      </c>
    </row>
    <row r="139" spans="1:16" x14ac:dyDescent="0.25">
      <c r="A139" t="s">
        <v>200</v>
      </c>
      <c r="B139" t="s">
        <v>54</v>
      </c>
      <c r="C139" t="s">
        <v>21</v>
      </c>
      <c r="D139">
        <v>25</v>
      </c>
      <c r="E139" t="s">
        <v>15</v>
      </c>
      <c r="F139" t="s">
        <v>28</v>
      </c>
      <c r="G139">
        <v>54655</v>
      </c>
      <c r="H139">
        <v>4</v>
      </c>
      <c r="I139" s="1">
        <v>43037</v>
      </c>
      <c r="J139">
        <v>5</v>
      </c>
      <c r="K139" t="s">
        <v>17</v>
      </c>
      <c r="L139" t="s">
        <v>36</v>
      </c>
      <c r="M139" t="str">
        <f>IF(Table3[[#This Row],[Age]]&lt;30,"Young",IF(Table3[[#This Row],[Age]]&lt;=40,"Mid","Senior"))</f>
        <v>Young</v>
      </c>
      <c r="N139" t="str">
        <f>IF(Table3[[#This Row],[Experience]]&lt;3,"Junior",IF(Table3[[#This Row],[Experience]]&lt;=7,"Mid","Senior"))</f>
        <v>Mid</v>
      </c>
      <c r="O139">
        <f>YEAR(Table3[[#This Row],[Joining_Date]])</f>
        <v>2017</v>
      </c>
      <c r="P139" t="str">
        <f>IF(AND(Table3[[#This Row],[Performance]]&lt;=2,Table3[[#This Row],[Attrition]]="No"),"High Risk","Stable")</f>
        <v>Stable</v>
      </c>
    </row>
    <row r="140" spans="1:16" x14ac:dyDescent="0.25">
      <c r="A140" t="s">
        <v>201</v>
      </c>
      <c r="B140" t="s">
        <v>48</v>
      </c>
      <c r="C140" t="s">
        <v>21</v>
      </c>
      <c r="D140">
        <v>31</v>
      </c>
      <c r="E140" t="s">
        <v>15</v>
      </c>
      <c r="F140" t="s">
        <v>30</v>
      </c>
      <c r="G140">
        <v>67112</v>
      </c>
      <c r="H140">
        <v>10</v>
      </c>
      <c r="I140" s="1">
        <v>44442</v>
      </c>
      <c r="J140">
        <v>1</v>
      </c>
      <c r="K140" t="s">
        <v>42</v>
      </c>
      <c r="L140" t="s">
        <v>18</v>
      </c>
      <c r="M140" t="str">
        <f>IF(Table3[[#This Row],[Age]]&lt;30,"Young",IF(Table3[[#This Row],[Age]]&lt;=40,"Mid","Senior"))</f>
        <v>Mid</v>
      </c>
      <c r="N140" t="str">
        <f>IF(Table3[[#This Row],[Experience]]&lt;3,"Junior",IF(Table3[[#This Row],[Experience]]&lt;=7,"Mid","Senior"))</f>
        <v>Senior</v>
      </c>
      <c r="O140">
        <f>YEAR(Table3[[#This Row],[Joining_Date]])</f>
        <v>2021</v>
      </c>
      <c r="P140" t="str">
        <f>IF(AND(Table3[[#This Row],[Performance]]&lt;=2,Table3[[#This Row],[Attrition]]="No"),"High Risk","Stable")</f>
        <v>Stable</v>
      </c>
    </row>
    <row r="141" spans="1:16" x14ac:dyDescent="0.25">
      <c r="A141" t="s">
        <v>202</v>
      </c>
      <c r="B141" t="s">
        <v>23</v>
      </c>
      <c r="C141" t="s">
        <v>21</v>
      </c>
      <c r="D141">
        <v>38</v>
      </c>
      <c r="E141" t="s">
        <v>24</v>
      </c>
      <c r="F141" t="s">
        <v>46</v>
      </c>
      <c r="G141">
        <v>64798</v>
      </c>
      <c r="H141">
        <v>11</v>
      </c>
      <c r="I141" s="1">
        <v>43490</v>
      </c>
      <c r="J141">
        <v>3</v>
      </c>
      <c r="K141" t="s">
        <v>17</v>
      </c>
      <c r="L141" t="s">
        <v>50</v>
      </c>
      <c r="M141" t="str">
        <f>IF(Table3[[#This Row],[Age]]&lt;30,"Young",IF(Table3[[#This Row],[Age]]&lt;=40,"Mid","Senior"))</f>
        <v>Mid</v>
      </c>
      <c r="N141" t="str">
        <f>IF(Table3[[#This Row],[Experience]]&lt;3,"Junior",IF(Table3[[#This Row],[Experience]]&lt;=7,"Mid","Senior"))</f>
        <v>Senior</v>
      </c>
      <c r="O141">
        <f>YEAR(Table3[[#This Row],[Joining_Date]])</f>
        <v>2019</v>
      </c>
      <c r="P141" t="str">
        <f>IF(AND(Table3[[#This Row],[Performance]]&lt;=2,Table3[[#This Row],[Attrition]]="No"),"High Risk","Stable")</f>
        <v>Stable</v>
      </c>
    </row>
    <row r="142" spans="1:16" x14ac:dyDescent="0.25">
      <c r="A142" t="s">
        <v>203</v>
      </c>
      <c r="B142" t="s">
        <v>13</v>
      </c>
      <c r="C142" t="s">
        <v>21</v>
      </c>
      <c r="D142">
        <v>26</v>
      </c>
      <c r="E142" t="s">
        <v>24</v>
      </c>
      <c r="F142" t="s">
        <v>49</v>
      </c>
      <c r="G142">
        <v>48264</v>
      </c>
      <c r="H142">
        <v>4</v>
      </c>
      <c r="I142" s="1">
        <v>43216</v>
      </c>
      <c r="J142">
        <v>1</v>
      </c>
      <c r="K142" t="s">
        <v>17</v>
      </c>
      <c r="L142" t="s">
        <v>39</v>
      </c>
      <c r="M142" t="str">
        <f>IF(Table3[[#This Row],[Age]]&lt;30,"Young",IF(Table3[[#This Row],[Age]]&lt;=40,"Mid","Senior"))</f>
        <v>Young</v>
      </c>
      <c r="N142" t="str">
        <f>IF(Table3[[#This Row],[Experience]]&lt;3,"Junior",IF(Table3[[#This Row],[Experience]]&lt;=7,"Mid","Senior"))</f>
        <v>Mid</v>
      </c>
      <c r="O142">
        <f>YEAR(Table3[[#This Row],[Joining_Date]])</f>
        <v>2018</v>
      </c>
      <c r="P142" t="str">
        <f>IF(AND(Table3[[#This Row],[Performance]]&lt;=2,Table3[[#This Row],[Attrition]]="No"),"High Risk","Stable")</f>
        <v>High Risk</v>
      </c>
    </row>
    <row r="143" spans="1:16" x14ac:dyDescent="0.25">
      <c r="A143" t="s">
        <v>204</v>
      </c>
      <c r="B143" t="s">
        <v>27</v>
      </c>
      <c r="C143" t="s">
        <v>21</v>
      </c>
      <c r="D143">
        <v>34</v>
      </c>
      <c r="E143" t="s">
        <v>15</v>
      </c>
      <c r="F143" t="s">
        <v>28</v>
      </c>
      <c r="G143">
        <v>52658</v>
      </c>
      <c r="H143">
        <v>4</v>
      </c>
      <c r="I143" s="1">
        <v>42745</v>
      </c>
      <c r="J143">
        <v>5</v>
      </c>
      <c r="K143" t="s">
        <v>17</v>
      </c>
      <c r="L143" t="s">
        <v>50</v>
      </c>
      <c r="M143" t="str">
        <f>IF(Table3[[#This Row],[Age]]&lt;30,"Young",IF(Table3[[#This Row],[Age]]&lt;=40,"Mid","Senior"))</f>
        <v>Mid</v>
      </c>
      <c r="N143" t="str">
        <f>IF(Table3[[#This Row],[Experience]]&lt;3,"Junior",IF(Table3[[#This Row],[Experience]]&lt;=7,"Mid","Senior"))</f>
        <v>Mid</v>
      </c>
      <c r="O143">
        <f>YEAR(Table3[[#This Row],[Joining_Date]])</f>
        <v>2017</v>
      </c>
      <c r="P143" t="str">
        <f>IF(AND(Table3[[#This Row],[Performance]]&lt;=2,Table3[[#This Row],[Attrition]]="No"),"High Risk","Stable")</f>
        <v>Stable</v>
      </c>
    </row>
    <row r="144" spans="1:16" x14ac:dyDescent="0.25">
      <c r="A144" t="s">
        <v>205</v>
      </c>
      <c r="B144" t="s">
        <v>48</v>
      </c>
      <c r="C144" t="s">
        <v>14</v>
      </c>
      <c r="D144">
        <v>43</v>
      </c>
      <c r="E144" t="s">
        <v>67</v>
      </c>
      <c r="F144" t="s">
        <v>97</v>
      </c>
      <c r="G144">
        <v>59777</v>
      </c>
      <c r="H144">
        <v>7</v>
      </c>
      <c r="I144" s="1">
        <v>44505</v>
      </c>
      <c r="J144">
        <v>3</v>
      </c>
      <c r="K144" t="s">
        <v>17</v>
      </c>
      <c r="L144" t="s">
        <v>18</v>
      </c>
      <c r="M144" t="str">
        <f>IF(Table3[[#This Row],[Age]]&lt;30,"Young",IF(Table3[[#This Row],[Age]]&lt;=40,"Mid","Senior"))</f>
        <v>Senior</v>
      </c>
      <c r="N144" t="str">
        <f>IF(Table3[[#This Row],[Experience]]&lt;3,"Junior",IF(Table3[[#This Row],[Experience]]&lt;=7,"Mid","Senior"))</f>
        <v>Mid</v>
      </c>
      <c r="O144">
        <f>YEAR(Table3[[#This Row],[Joining_Date]])</f>
        <v>2021</v>
      </c>
      <c r="P144" t="str">
        <f>IF(AND(Table3[[#This Row],[Performance]]&lt;=2,Table3[[#This Row],[Attrition]]="No"),"High Risk","Stable")</f>
        <v>Stable</v>
      </c>
    </row>
    <row r="145" spans="1:16" x14ac:dyDescent="0.25">
      <c r="A145" t="s">
        <v>206</v>
      </c>
      <c r="B145" t="s">
        <v>58</v>
      </c>
      <c r="C145" t="s">
        <v>14</v>
      </c>
      <c r="D145">
        <v>28</v>
      </c>
      <c r="E145" t="s">
        <v>34</v>
      </c>
      <c r="F145" t="s">
        <v>74</v>
      </c>
      <c r="G145">
        <v>61613</v>
      </c>
      <c r="H145">
        <v>7</v>
      </c>
      <c r="I145" s="1">
        <v>45884</v>
      </c>
      <c r="J145">
        <v>5</v>
      </c>
      <c r="K145" t="s">
        <v>17</v>
      </c>
      <c r="L145" t="s">
        <v>18</v>
      </c>
      <c r="M145" t="str">
        <f>IF(Table3[[#This Row],[Age]]&lt;30,"Young",IF(Table3[[#This Row],[Age]]&lt;=40,"Mid","Senior"))</f>
        <v>Young</v>
      </c>
      <c r="N145" t="str">
        <f>IF(Table3[[#This Row],[Experience]]&lt;3,"Junior",IF(Table3[[#This Row],[Experience]]&lt;=7,"Mid","Senior"))</f>
        <v>Mid</v>
      </c>
      <c r="O145">
        <f>YEAR(Table3[[#This Row],[Joining_Date]])</f>
        <v>2025</v>
      </c>
      <c r="P145" t="str">
        <f>IF(AND(Table3[[#This Row],[Performance]]&lt;=2,Table3[[#This Row],[Attrition]]="No"),"High Risk","Stable")</f>
        <v>Stable</v>
      </c>
    </row>
    <row r="146" spans="1:16" x14ac:dyDescent="0.25">
      <c r="A146" t="s">
        <v>207</v>
      </c>
      <c r="B146" t="s">
        <v>91</v>
      </c>
      <c r="C146" t="s">
        <v>14</v>
      </c>
      <c r="D146">
        <v>28</v>
      </c>
      <c r="E146" t="s">
        <v>24</v>
      </c>
      <c r="F146" t="s">
        <v>49</v>
      </c>
      <c r="G146">
        <v>51096</v>
      </c>
      <c r="H146">
        <v>4</v>
      </c>
      <c r="I146" s="1">
        <v>42218</v>
      </c>
      <c r="J146">
        <v>4</v>
      </c>
      <c r="K146" t="s">
        <v>17</v>
      </c>
      <c r="L146" t="s">
        <v>43</v>
      </c>
      <c r="M146" t="str">
        <f>IF(Table3[[#This Row],[Age]]&lt;30,"Young",IF(Table3[[#This Row],[Age]]&lt;=40,"Mid","Senior"))</f>
        <v>Young</v>
      </c>
      <c r="N146" t="str">
        <f>IF(Table3[[#This Row],[Experience]]&lt;3,"Junior",IF(Table3[[#This Row],[Experience]]&lt;=7,"Mid","Senior"))</f>
        <v>Mid</v>
      </c>
      <c r="O146">
        <f>YEAR(Table3[[#This Row],[Joining_Date]])</f>
        <v>2015</v>
      </c>
      <c r="P146" t="str">
        <f>IF(AND(Table3[[#This Row],[Performance]]&lt;=2,Table3[[#This Row],[Attrition]]="No"),"High Risk","Stable")</f>
        <v>Stable</v>
      </c>
    </row>
    <row r="147" spans="1:16" x14ac:dyDescent="0.25">
      <c r="A147" t="s">
        <v>208</v>
      </c>
      <c r="B147" t="s">
        <v>56</v>
      </c>
      <c r="C147" t="s">
        <v>21</v>
      </c>
      <c r="D147">
        <v>24</v>
      </c>
      <c r="E147" t="s">
        <v>15</v>
      </c>
      <c r="F147" t="s">
        <v>30</v>
      </c>
      <c r="G147">
        <v>51969</v>
      </c>
      <c r="H147">
        <v>3</v>
      </c>
      <c r="I147" s="1">
        <v>43845</v>
      </c>
      <c r="J147">
        <v>5</v>
      </c>
      <c r="K147" t="s">
        <v>17</v>
      </c>
      <c r="L147" t="s">
        <v>18</v>
      </c>
      <c r="M147" t="str">
        <f>IF(Table3[[#This Row],[Age]]&lt;30,"Young",IF(Table3[[#This Row],[Age]]&lt;=40,"Mid","Senior"))</f>
        <v>Young</v>
      </c>
      <c r="N147" t="str">
        <f>IF(Table3[[#This Row],[Experience]]&lt;3,"Junior",IF(Table3[[#This Row],[Experience]]&lt;=7,"Mid","Senior"))</f>
        <v>Mid</v>
      </c>
      <c r="O147">
        <f>YEAR(Table3[[#This Row],[Joining_Date]])</f>
        <v>2020</v>
      </c>
      <c r="P147" t="str">
        <f>IF(AND(Table3[[#This Row],[Performance]]&lt;=2,Table3[[#This Row],[Attrition]]="No"),"High Risk","Stable")</f>
        <v>Stable</v>
      </c>
    </row>
    <row r="148" spans="1:16" x14ac:dyDescent="0.25">
      <c r="A148" t="s">
        <v>209</v>
      </c>
      <c r="B148" t="s">
        <v>48</v>
      </c>
      <c r="C148" t="s">
        <v>14</v>
      </c>
      <c r="D148">
        <v>22</v>
      </c>
      <c r="E148" t="s">
        <v>15</v>
      </c>
      <c r="F148" t="s">
        <v>80</v>
      </c>
      <c r="G148">
        <v>43372</v>
      </c>
      <c r="H148">
        <v>1</v>
      </c>
      <c r="I148" s="1">
        <v>43628</v>
      </c>
      <c r="J148">
        <v>5</v>
      </c>
      <c r="K148" t="s">
        <v>17</v>
      </c>
      <c r="L148" t="s">
        <v>18</v>
      </c>
      <c r="M148" t="str">
        <f>IF(Table3[[#This Row],[Age]]&lt;30,"Young",IF(Table3[[#This Row],[Age]]&lt;=40,"Mid","Senior"))</f>
        <v>Young</v>
      </c>
      <c r="N148" t="str">
        <f>IF(Table3[[#This Row],[Experience]]&lt;3,"Junior",IF(Table3[[#This Row],[Experience]]&lt;=7,"Mid","Senior"))</f>
        <v>Junior</v>
      </c>
      <c r="O148">
        <f>YEAR(Table3[[#This Row],[Joining_Date]])</f>
        <v>2019</v>
      </c>
      <c r="P148" t="str">
        <f>IF(AND(Table3[[#This Row],[Performance]]&lt;=2,Table3[[#This Row],[Attrition]]="No"),"High Risk","Stable")</f>
        <v>Stable</v>
      </c>
    </row>
    <row r="149" spans="1:16" x14ac:dyDescent="0.25">
      <c r="A149" t="s">
        <v>210</v>
      </c>
      <c r="B149" t="s">
        <v>126</v>
      </c>
      <c r="C149" t="s">
        <v>21</v>
      </c>
      <c r="D149">
        <v>32</v>
      </c>
      <c r="E149" t="s">
        <v>15</v>
      </c>
      <c r="F149" t="s">
        <v>28</v>
      </c>
      <c r="G149">
        <v>59209</v>
      </c>
      <c r="H149">
        <v>3</v>
      </c>
      <c r="I149" s="1">
        <v>44667</v>
      </c>
      <c r="J149">
        <v>3</v>
      </c>
      <c r="K149" t="s">
        <v>17</v>
      </c>
      <c r="L149" t="s">
        <v>50</v>
      </c>
      <c r="M149" t="str">
        <f>IF(Table3[[#This Row],[Age]]&lt;30,"Young",IF(Table3[[#This Row],[Age]]&lt;=40,"Mid","Senior"))</f>
        <v>Mid</v>
      </c>
      <c r="N149" t="str">
        <f>IF(Table3[[#This Row],[Experience]]&lt;3,"Junior",IF(Table3[[#This Row],[Experience]]&lt;=7,"Mid","Senior"))</f>
        <v>Mid</v>
      </c>
      <c r="O149">
        <f>YEAR(Table3[[#This Row],[Joining_Date]])</f>
        <v>2022</v>
      </c>
      <c r="P149" t="str">
        <f>IF(AND(Table3[[#This Row],[Performance]]&lt;=2,Table3[[#This Row],[Attrition]]="No"),"High Risk","Stable")</f>
        <v>Stable</v>
      </c>
    </row>
    <row r="150" spans="1:16" x14ac:dyDescent="0.25">
      <c r="A150" t="s">
        <v>211</v>
      </c>
      <c r="B150" t="s">
        <v>88</v>
      </c>
      <c r="C150" t="s">
        <v>14</v>
      </c>
      <c r="D150">
        <v>44</v>
      </c>
      <c r="E150" t="s">
        <v>15</v>
      </c>
      <c r="F150" t="s">
        <v>28</v>
      </c>
      <c r="G150">
        <v>84849</v>
      </c>
      <c r="H150">
        <v>15</v>
      </c>
      <c r="I150" s="1">
        <v>44525</v>
      </c>
      <c r="J150">
        <v>1</v>
      </c>
      <c r="K150" t="s">
        <v>42</v>
      </c>
      <c r="L150" t="s">
        <v>50</v>
      </c>
      <c r="M150" t="str">
        <f>IF(Table3[[#This Row],[Age]]&lt;30,"Young",IF(Table3[[#This Row],[Age]]&lt;=40,"Mid","Senior"))</f>
        <v>Senior</v>
      </c>
      <c r="N150" t="str">
        <f>IF(Table3[[#This Row],[Experience]]&lt;3,"Junior",IF(Table3[[#This Row],[Experience]]&lt;=7,"Mid","Senior"))</f>
        <v>Senior</v>
      </c>
      <c r="O150">
        <f>YEAR(Table3[[#This Row],[Joining_Date]])</f>
        <v>2021</v>
      </c>
      <c r="P150" t="str">
        <f>IF(AND(Table3[[#This Row],[Performance]]&lt;=2,Table3[[#This Row],[Attrition]]="No"),"High Risk","Stable")</f>
        <v>Stable</v>
      </c>
    </row>
    <row r="151" spans="1:16" x14ac:dyDescent="0.25">
      <c r="A151" t="s">
        <v>212</v>
      </c>
      <c r="B151" t="s">
        <v>56</v>
      </c>
      <c r="C151" t="s">
        <v>21</v>
      </c>
      <c r="D151">
        <v>29</v>
      </c>
      <c r="E151" t="s">
        <v>34</v>
      </c>
      <c r="F151" t="s">
        <v>52</v>
      </c>
      <c r="G151">
        <v>54996</v>
      </c>
      <c r="H151">
        <v>8</v>
      </c>
      <c r="I151" s="1">
        <v>42200</v>
      </c>
      <c r="J151">
        <v>2</v>
      </c>
      <c r="K151" t="s">
        <v>42</v>
      </c>
      <c r="L151" t="s">
        <v>43</v>
      </c>
      <c r="M151" t="str">
        <f>IF(Table3[[#This Row],[Age]]&lt;30,"Young",IF(Table3[[#This Row],[Age]]&lt;=40,"Mid","Senior"))</f>
        <v>Young</v>
      </c>
      <c r="N151" t="str">
        <f>IF(Table3[[#This Row],[Experience]]&lt;3,"Junior",IF(Table3[[#This Row],[Experience]]&lt;=7,"Mid","Senior"))</f>
        <v>Senior</v>
      </c>
      <c r="O151">
        <f>YEAR(Table3[[#This Row],[Joining_Date]])</f>
        <v>2015</v>
      </c>
      <c r="P151" t="str">
        <f>IF(AND(Table3[[#This Row],[Performance]]&lt;=2,Table3[[#This Row],[Attrition]]="No"),"High Risk","Stable")</f>
        <v>Stable</v>
      </c>
    </row>
    <row r="152" spans="1:16" x14ac:dyDescent="0.25">
      <c r="A152" t="s">
        <v>213</v>
      </c>
      <c r="B152" t="s">
        <v>58</v>
      </c>
      <c r="C152" t="s">
        <v>21</v>
      </c>
      <c r="D152">
        <v>41</v>
      </c>
      <c r="E152" t="s">
        <v>67</v>
      </c>
      <c r="F152" t="s">
        <v>97</v>
      </c>
      <c r="G152">
        <v>45353</v>
      </c>
      <c r="H152">
        <v>0</v>
      </c>
      <c r="I152" s="1">
        <v>44115</v>
      </c>
      <c r="J152">
        <v>5</v>
      </c>
      <c r="K152" t="s">
        <v>17</v>
      </c>
      <c r="L152" t="s">
        <v>50</v>
      </c>
      <c r="M152" t="str">
        <f>IF(Table3[[#This Row],[Age]]&lt;30,"Young",IF(Table3[[#This Row],[Age]]&lt;=40,"Mid","Senior"))</f>
        <v>Senior</v>
      </c>
      <c r="N152" t="str">
        <f>IF(Table3[[#This Row],[Experience]]&lt;3,"Junior",IF(Table3[[#This Row],[Experience]]&lt;=7,"Mid","Senior"))</f>
        <v>Junior</v>
      </c>
      <c r="O152">
        <f>YEAR(Table3[[#This Row],[Joining_Date]])</f>
        <v>2020</v>
      </c>
      <c r="P152" t="str">
        <f>IF(AND(Table3[[#This Row],[Performance]]&lt;=2,Table3[[#This Row],[Attrition]]="No"),"High Risk","Stable")</f>
        <v>Stable</v>
      </c>
    </row>
    <row r="153" spans="1:16" x14ac:dyDescent="0.25">
      <c r="A153" t="s">
        <v>214</v>
      </c>
      <c r="B153" t="s">
        <v>27</v>
      </c>
      <c r="C153" t="s">
        <v>21</v>
      </c>
      <c r="D153">
        <v>33</v>
      </c>
      <c r="E153" t="s">
        <v>24</v>
      </c>
      <c r="F153" t="s">
        <v>49</v>
      </c>
      <c r="G153">
        <v>63849</v>
      </c>
      <c r="H153">
        <v>7</v>
      </c>
      <c r="I153" s="1">
        <v>43711</v>
      </c>
      <c r="J153">
        <v>2</v>
      </c>
      <c r="K153" t="s">
        <v>17</v>
      </c>
      <c r="L153" t="s">
        <v>36</v>
      </c>
      <c r="M153" t="str">
        <f>IF(Table3[[#This Row],[Age]]&lt;30,"Young",IF(Table3[[#This Row],[Age]]&lt;=40,"Mid","Senior"))</f>
        <v>Mid</v>
      </c>
      <c r="N153" t="str">
        <f>IF(Table3[[#This Row],[Experience]]&lt;3,"Junior",IF(Table3[[#This Row],[Experience]]&lt;=7,"Mid","Senior"))</f>
        <v>Mid</v>
      </c>
      <c r="O153">
        <f>YEAR(Table3[[#This Row],[Joining_Date]])</f>
        <v>2019</v>
      </c>
      <c r="P153" t="str">
        <f>IF(AND(Table3[[#This Row],[Performance]]&lt;=2,Table3[[#This Row],[Attrition]]="No"),"High Risk","Stable")</f>
        <v>High Risk</v>
      </c>
    </row>
    <row r="154" spans="1:16" x14ac:dyDescent="0.25">
      <c r="A154" t="s">
        <v>215</v>
      </c>
      <c r="B154" t="s">
        <v>45</v>
      </c>
      <c r="C154" t="s">
        <v>21</v>
      </c>
      <c r="D154">
        <v>37</v>
      </c>
      <c r="E154" t="s">
        <v>15</v>
      </c>
      <c r="F154" t="s">
        <v>30</v>
      </c>
      <c r="G154">
        <v>52914</v>
      </c>
      <c r="H154">
        <v>1</v>
      </c>
      <c r="I154" s="1">
        <v>43589</v>
      </c>
      <c r="J154">
        <v>3</v>
      </c>
      <c r="K154" t="s">
        <v>17</v>
      </c>
      <c r="L154" t="s">
        <v>31</v>
      </c>
      <c r="M154" t="str">
        <f>IF(Table3[[#This Row],[Age]]&lt;30,"Young",IF(Table3[[#This Row],[Age]]&lt;=40,"Mid","Senior"))</f>
        <v>Mid</v>
      </c>
      <c r="N154" t="str">
        <f>IF(Table3[[#This Row],[Experience]]&lt;3,"Junior",IF(Table3[[#This Row],[Experience]]&lt;=7,"Mid","Senior"))</f>
        <v>Junior</v>
      </c>
      <c r="O154">
        <f>YEAR(Table3[[#This Row],[Joining_Date]])</f>
        <v>2019</v>
      </c>
      <c r="P154" t="str">
        <f>IF(AND(Table3[[#This Row],[Performance]]&lt;=2,Table3[[#This Row],[Attrition]]="No"),"High Risk","Stable")</f>
        <v>Stable</v>
      </c>
    </row>
    <row r="155" spans="1:16" x14ac:dyDescent="0.25">
      <c r="A155" t="s">
        <v>216</v>
      </c>
      <c r="B155" t="s">
        <v>13</v>
      </c>
      <c r="C155" t="s">
        <v>14</v>
      </c>
      <c r="D155">
        <v>45</v>
      </c>
      <c r="E155" t="s">
        <v>24</v>
      </c>
      <c r="F155" t="s">
        <v>25</v>
      </c>
      <c r="G155">
        <v>57140</v>
      </c>
      <c r="H155">
        <v>3</v>
      </c>
      <c r="I155" s="1">
        <v>44388</v>
      </c>
      <c r="J155">
        <v>3</v>
      </c>
      <c r="K155" t="s">
        <v>17</v>
      </c>
      <c r="L155" t="s">
        <v>36</v>
      </c>
      <c r="M155" t="str">
        <f>IF(Table3[[#This Row],[Age]]&lt;30,"Young",IF(Table3[[#This Row],[Age]]&lt;=40,"Mid","Senior"))</f>
        <v>Senior</v>
      </c>
      <c r="N155" t="str">
        <f>IF(Table3[[#This Row],[Experience]]&lt;3,"Junior",IF(Table3[[#This Row],[Experience]]&lt;=7,"Mid","Senior"))</f>
        <v>Mid</v>
      </c>
      <c r="O155">
        <f>YEAR(Table3[[#This Row],[Joining_Date]])</f>
        <v>2021</v>
      </c>
      <c r="P155" t="str">
        <f>IF(AND(Table3[[#This Row],[Performance]]&lt;=2,Table3[[#This Row],[Attrition]]="No"),"High Risk","Stable")</f>
        <v>Stable</v>
      </c>
    </row>
    <row r="156" spans="1:16" x14ac:dyDescent="0.25">
      <c r="A156" t="s">
        <v>217</v>
      </c>
      <c r="B156" t="s">
        <v>58</v>
      </c>
      <c r="C156" t="s">
        <v>14</v>
      </c>
      <c r="D156">
        <v>42</v>
      </c>
      <c r="E156" t="s">
        <v>24</v>
      </c>
      <c r="F156" t="s">
        <v>46</v>
      </c>
      <c r="G156">
        <v>51709</v>
      </c>
      <c r="H156">
        <v>5</v>
      </c>
      <c r="I156" s="1">
        <v>42263</v>
      </c>
      <c r="J156">
        <v>4</v>
      </c>
      <c r="K156" t="s">
        <v>42</v>
      </c>
      <c r="L156" t="s">
        <v>50</v>
      </c>
      <c r="M156" t="str">
        <f>IF(Table3[[#This Row],[Age]]&lt;30,"Young",IF(Table3[[#This Row],[Age]]&lt;=40,"Mid","Senior"))</f>
        <v>Senior</v>
      </c>
      <c r="N156" t="str">
        <f>IF(Table3[[#This Row],[Experience]]&lt;3,"Junior",IF(Table3[[#This Row],[Experience]]&lt;=7,"Mid","Senior"))</f>
        <v>Mid</v>
      </c>
      <c r="O156">
        <f>YEAR(Table3[[#This Row],[Joining_Date]])</f>
        <v>2015</v>
      </c>
      <c r="P156" t="str">
        <f>IF(AND(Table3[[#This Row],[Performance]]&lt;=2,Table3[[#This Row],[Attrition]]="No"),"High Risk","Stable")</f>
        <v>Stable</v>
      </c>
    </row>
    <row r="157" spans="1:16" x14ac:dyDescent="0.25">
      <c r="A157" t="s">
        <v>218</v>
      </c>
      <c r="B157" t="s">
        <v>54</v>
      </c>
      <c r="C157" t="s">
        <v>21</v>
      </c>
      <c r="D157">
        <v>31</v>
      </c>
      <c r="E157" t="s">
        <v>15</v>
      </c>
      <c r="F157" t="s">
        <v>80</v>
      </c>
      <c r="G157">
        <v>73897</v>
      </c>
      <c r="H157">
        <v>10</v>
      </c>
      <c r="I157" s="1">
        <v>43944</v>
      </c>
      <c r="J157">
        <v>3</v>
      </c>
      <c r="K157" t="s">
        <v>42</v>
      </c>
      <c r="L157" t="s">
        <v>39</v>
      </c>
      <c r="M157" t="str">
        <f>IF(Table3[[#This Row],[Age]]&lt;30,"Young",IF(Table3[[#This Row],[Age]]&lt;=40,"Mid","Senior"))</f>
        <v>Mid</v>
      </c>
      <c r="N157" t="str">
        <f>IF(Table3[[#This Row],[Experience]]&lt;3,"Junior",IF(Table3[[#This Row],[Experience]]&lt;=7,"Mid","Senior"))</f>
        <v>Senior</v>
      </c>
      <c r="O157">
        <f>YEAR(Table3[[#This Row],[Joining_Date]])</f>
        <v>2020</v>
      </c>
      <c r="P157" t="str">
        <f>IF(AND(Table3[[#This Row],[Performance]]&lt;=2,Table3[[#This Row],[Attrition]]="No"),"High Risk","Stable")</f>
        <v>Stable</v>
      </c>
    </row>
    <row r="158" spans="1:16" x14ac:dyDescent="0.25">
      <c r="A158" t="s">
        <v>219</v>
      </c>
      <c r="B158" t="s">
        <v>78</v>
      </c>
      <c r="C158" t="s">
        <v>14</v>
      </c>
      <c r="D158">
        <v>42</v>
      </c>
      <c r="E158" t="s">
        <v>34</v>
      </c>
      <c r="F158" t="s">
        <v>41</v>
      </c>
      <c r="G158">
        <v>62476</v>
      </c>
      <c r="H158">
        <v>10</v>
      </c>
      <c r="I158" s="1">
        <v>42514</v>
      </c>
      <c r="J158">
        <v>3</v>
      </c>
      <c r="K158" t="s">
        <v>17</v>
      </c>
      <c r="L158" t="s">
        <v>18</v>
      </c>
      <c r="M158" t="str">
        <f>IF(Table3[[#This Row],[Age]]&lt;30,"Young",IF(Table3[[#This Row],[Age]]&lt;=40,"Mid","Senior"))</f>
        <v>Senior</v>
      </c>
      <c r="N158" t="str">
        <f>IF(Table3[[#This Row],[Experience]]&lt;3,"Junior",IF(Table3[[#This Row],[Experience]]&lt;=7,"Mid","Senior"))</f>
        <v>Senior</v>
      </c>
      <c r="O158">
        <f>YEAR(Table3[[#This Row],[Joining_Date]])</f>
        <v>2016</v>
      </c>
      <c r="P158" t="str">
        <f>IF(AND(Table3[[#This Row],[Performance]]&lt;=2,Table3[[#This Row],[Attrition]]="No"),"High Risk","Stable")</f>
        <v>Stable</v>
      </c>
    </row>
    <row r="159" spans="1:16" x14ac:dyDescent="0.25">
      <c r="A159" t="s">
        <v>220</v>
      </c>
      <c r="B159" t="s">
        <v>91</v>
      </c>
      <c r="C159" t="s">
        <v>14</v>
      </c>
      <c r="D159">
        <v>37</v>
      </c>
      <c r="E159" t="s">
        <v>67</v>
      </c>
      <c r="F159" t="s">
        <v>110</v>
      </c>
      <c r="G159">
        <v>78518</v>
      </c>
      <c r="H159">
        <v>15</v>
      </c>
      <c r="I159" s="1">
        <v>45790</v>
      </c>
      <c r="J159">
        <v>5</v>
      </c>
      <c r="K159" t="s">
        <v>17</v>
      </c>
      <c r="L159" t="s">
        <v>31</v>
      </c>
      <c r="M159" t="str">
        <f>IF(Table3[[#This Row],[Age]]&lt;30,"Young",IF(Table3[[#This Row],[Age]]&lt;=40,"Mid","Senior"))</f>
        <v>Mid</v>
      </c>
      <c r="N159" t="str">
        <f>IF(Table3[[#This Row],[Experience]]&lt;3,"Junior",IF(Table3[[#This Row],[Experience]]&lt;=7,"Mid","Senior"))</f>
        <v>Senior</v>
      </c>
      <c r="O159">
        <f>YEAR(Table3[[#This Row],[Joining_Date]])</f>
        <v>2025</v>
      </c>
      <c r="P159" t="str">
        <f>IF(AND(Table3[[#This Row],[Performance]]&lt;=2,Table3[[#This Row],[Attrition]]="No"),"High Risk","Stable")</f>
        <v>Stable</v>
      </c>
    </row>
    <row r="160" spans="1:16" x14ac:dyDescent="0.25">
      <c r="A160" t="s">
        <v>221</v>
      </c>
      <c r="B160" t="s">
        <v>27</v>
      </c>
      <c r="C160" t="s">
        <v>14</v>
      </c>
      <c r="D160">
        <v>27</v>
      </c>
      <c r="E160" t="s">
        <v>67</v>
      </c>
      <c r="F160" t="s">
        <v>97</v>
      </c>
      <c r="G160">
        <v>55262</v>
      </c>
      <c r="H160">
        <v>6</v>
      </c>
      <c r="I160" s="1">
        <v>42425</v>
      </c>
      <c r="J160">
        <v>1</v>
      </c>
      <c r="K160" t="s">
        <v>42</v>
      </c>
      <c r="L160" t="s">
        <v>36</v>
      </c>
      <c r="M160" t="str">
        <f>IF(Table3[[#This Row],[Age]]&lt;30,"Young",IF(Table3[[#This Row],[Age]]&lt;=40,"Mid","Senior"))</f>
        <v>Young</v>
      </c>
      <c r="N160" t="str">
        <f>IF(Table3[[#This Row],[Experience]]&lt;3,"Junior",IF(Table3[[#This Row],[Experience]]&lt;=7,"Mid","Senior"))</f>
        <v>Mid</v>
      </c>
      <c r="O160">
        <f>YEAR(Table3[[#This Row],[Joining_Date]])</f>
        <v>2016</v>
      </c>
      <c r="P160" t="str">
        <f>IF(AND(Table3[[#This Row],[Performance]]&lt;=2,Table3[[#This Row],[Attrition]]="No"),"High Risk","Stable")</f>
        <v>Stable</v>
      </c>
    </row>
    <row r="161" spans="1:16" x14ac:dyDescent="0.25">
      <c r="A161" t="s">
        <v>222</v>
      </c>
      <c r="B161" t="s">
        <v>91</v>
      </c>
      <c r="C161" t="s">
        <v>14</v>
      </c>
      <c r="D161">
        <v>44</v>
      </c>
      <c r="E161" t="s">
        <v>24</v>
      </c>
      <c r="F161" t="s">
        <v>49</v>
      </c>
      <c r="G161">
        <v>77759</v>
      </c>
      <c r="H161">
        <v>14</v>
      </c>
      <c r="I161" s="1">
        <v>43836</v>
      </c>
      <c r="J161">
        <v>1</v>
      </c>
      <c r="K161" t="s">
        <v>17</v>
      </c>
      <c r="L161" t="s">
        <v>43</v>
      </c>
      <c r="M161" t="str">
        <f>IF(Table3[[#This Row],[Age]]&lt;30,"Young",IF(Table3[[#This Row],[Age]]&lt;=40,"Mid","Senior"))</f>
        <v>Senior</v>
      </c>
      <c r="N161" t="str">
        <f>IF(Table3[[#This Row],[Experience]]&lt;3,"Junior",IF(Table3[[#This Row],[Experience]]&lt;=7,"Mid","Senior"))</f>
        <v>Senior</v>
      </c>
      <c r="O161">
        <f>YEAR(Table3[[#This Row],[Joining_Date]])</f>
        <v>2020</v>
      </c>
      <c r="P161" t="str">
        <f>IF(AND(Table3[[#This Row],[Performance]]&lt;=2,Table3[[#This Row],[Attrition]]="No"),"High Risk","Stable")</f>
        <v>High Risk</v>
      </c>
    </row>
    <row r="162" spans="1:16" x14ac:dyDescent="0.25">
      <c r="A162" t="s">
        <v>223</v>
      </c>
      <c r="B162" t="s">
        <v>60</v>
      </c>
      <c r="C162" t="s">
        <v>21</v>
      </c>
      <c r="D162">
        <v>43</v>
      </c>
      <c r="E162" t="s">
        <v>67</v>
      </c>
      <c r="F162" t="s">
        <v>76</v>
      </c>
      <c r="G162">
        <v>70952</v>
      </c>
      <c r="H162">
        <v>12</v>
      </c>
      <c r="I162" s="1">
        <v>44106</v>
      </c>
      <c r="J162">
        <v>2</v>
      </c>
      <c r="K162" t="s">
        <v>17</v>
      </c>
      <c r="L162" t="s">
        <v>43</v>
      </c>
      <c r="M162" t="str">
        <f>IF(Table3[[#This Row],[Age]]&lt;30,"Young",IF(Table3[[#This Row],[Age]]&lt;=40,"Mid","Senior"))</f>
        <v>Senior</v>
      </c>
      <c r="N162" t="str">
        <f>IF(Table3[[#This Row],[Experience]]&lt;3,"Junior",IF(Table3[[#This Row],[Experience]]&lt;=7,"Mid","Senior"))</f>
        <v>Senior</v>
      </c>
      <c r="O162">
        <f>YEAR(Table3[[#This Row],[Joining_Date]])</f>
        <v>2020</v>
      </c>
      <c r="P162" t="str">
        <f>IF(AND(Table3[[#This Row],[Performance]]&lt;=2,Table3[[#This Row],[Attrition]]="No"),"High Risk","Stable")</f>
        <v>High Risk</v>
      </c>
    </row>
    <row r="163" spans="1:16" x14ac:dyDescent="0.25">
      <c r="A163" t="s">
        <v>224</v>
      </c>
      <c r="B163" t="s">
        <v>60</v>
      </c>
      <c r="C163" t="s">
        <v>21</v>
      </c>
      <c r="D163">
        <v>29</v>
      </c>
      <c r="E163" t="s">
        <v>67</v>
      </c>
      <c r="F163" t="s">
        <v>97</v>
      </c>
      <c r="G163">
        <v>60933</v>
      </c>
      <c r="H163">
        <v>8</v>
      </c>
      <c r="I163" s="1">
        <v>43573</v>
      </c>
      <c r="J163">
        <v>5</v>
      </c>
      <c r="K163" t="s">
        <v>42</v>
      </c>
      <c r="L163" t="s">
        <v>50</v>
      </c>
      <c r="M163" t="str">
        <f>IF(Table3[[#This Row],[Age]]&lt;30,"Young",IF(Table3[[#This Row],[Age]]&lt;=40,"Mid","Senior"))</f>
        <v>Young</v>
      </c>
      <c r="N163" t="str">
        <f>IF(Table3[[#This Row],[Experience]]&lt;3,"Junior",IF(Table3[[#This Row],[Experience]]&lt;=7,"Mid","Senior"))</f>
        <v>Senior</v>
      </c>
      <c r="O163">
        <f>YEAR(Table3[[#This Row],[Joining_Date]])</f>
        <v>2019</v>
      </c>
      <c r="P163" t="str">
        <f>IF(AND(Table3[[#This Row],[Performance]]&lt;=2,Table3[[#This Row],[Attrition]]="No"),"High Risk","Stable")</f>
        <v>Stable</v>
      </c>
    </row>
    <row r="164" spans="1:16" x14ac:dyDescent="0.25">
      <c r="A164" t="s">
        <v>225</v>
      </c>
      <c r="B164" t="s">
        <v>101</v>
      </c>
      <c r="C164" t="s">
        <v>14</v>
      </c>
      <c r="D164">
        <v>24</v>
      </c>
      <c r="E164" t="s">
        <v>67</v>
      </c>
      <c r="F164" t="s">
        <v>76</v>
      </c>
      <c r="G164">
        <v>51174</v>
      </c>
      <c r="H164">
        <v>3</v>
      </c>
      <c r="I164" s="1">
        <v>43508</v>
      </c>
      <c r="J164">
        <v>4</v>
      </c>
      <c r="K164" t="s">
        <v>17</v>
      </c>
      <c r="L164" t="s">
        <v>36</v>
      </c>
      <c r="M164" t="str">
        <f>IF(Table3[[#This Row],[Age]]&lt;30,"Young",IF(Table3[[#This Row],[Age]]&lt;=40,"Mid","Senior"))</f>
        <v>Young</v>
      </c>
      <c r="N164" t="str">
        <f>IF(Table3[[#This Row],[Experience]]&lt;3,"Junior",IF(Table3[[#This Row],[Experience]]&lt;=7,"Mid","Senior"))</f>
        <v>Mid</v>
      </c>
      <c r="O164">
        <f>YEAR(Table3[[#This Row],[Joining_Date]])</f>
        <v>2019</v>
      </c>
      <c r="P164" t="str">
        <f>IF(AND(Table3[[#This Row],[Performance]]&lt;=2,Table3[[#This Row],[Attrition]]="No"),"High Risk","Stable")</f>
        <v>Stable</v>
      </c>
    </row>
    <row r="165" spans="1:16" x14ac:dyDescent="0.25">
      <c r="A165" t="s">
        <v>226</v>
      </c>
      <c r="B165" t="s">
        <v>91</v>
      </c>
      <c r="C165" t="s">
        <v>21</v>
      </c>
      <c r="D165">
        <v>37</v>
      </c>
      <c r="E165" t="s">
        <v>34</v>
      </c>
      <c r="F165" t="s">
        <v>35</v>
      </c>
      <c r="G165">
        <v>72202</v>
      </c>
      <c r="H165">
        <v>12</v>
      </c>
      <c r="I165" s="1">
        <v>42487</v>
      </c>
      <c r="J165">
        <v>3</v>
      </c>
      <c r="K165" t="s">
        <v>17</v>
      </c>
      <c r="L165" t="s">
        <v>39</v>
      </c>
      <c r="M165" t="str">
        <f>IF(Table3[[#This Row],[Age]]&lt;30,"Young",IF(Table3[[#This Row],[Age]]&lt;=40,"Mid","Senior"))</f>
        <v>Mid</v>
      </c>
      <c r="N165" t="str">
        <f>IF(Table3[[#This Row],[Experience]]&lt;3,"Junior",IF(Table3[[#This Row],[Experience]]&lt;=7,"Mid","Senior"))</f>
        <v>Senior</v>
      </c>
      <c r="O165">
        <f>YEAR(Table3[[#This Row],[Joining_Date]])</f>
        <v>2016</v>
      </c>
      <c r="P165" t="str">
        <f>IF(AND(Table3[[#This Row],[Performance]]&lt;=2,Table3[[#This Row],[Attrition]]="No"),"High Risk","Stable")</f>
        <v>Stable</v>
      </c>
    </row>
    <row r="166" spans="1:16" x14ac:dyDescent="0.25">
      <c r="A166" t="s">
        <v>227</v>
      </c>
      <c r="B166" t="s">
        <v>58</v>
      </c>
      <c r="C166" t="s">
        <v>14</v>
      </c>
      <c r="D166">
        <v>28</v>
      </c>
      <c r="E166" t="s">
        <v>67</v>
      </c>
      <c r="F166" t="s">
        <v>68</v>
      </c>
      <c r="G166">
        <v>44723</v>
      </c>
      <c r="H166">
        <v>3</v>
      </c>
      <c r="I166" s="1">
        <v>45498</v>
      </c>
      <c r="J166">
        <v>1</v>
      </c>
      <c r="K166" t="s">
        <v>17</v>
      </c>
      <c r="L166" t="s">
        <v>18</v>
      </c>
      <c r="M166" t="str">
        <f>IF(Table3[[#This Row],[Age]]&lt;30,"Young",IF(Table3[[#This Row],[Age]]&lt;=40,"Mid","Senior"))</f>
        <v>Young</v>
      </c>
      <c r="N166" t="str">
        <f>IF(Table3[[#This Row],[Experience]]&lt;3,"Junior",IF(Table3[[#This Row],[Experience]]&lt;=7,"Mid","Senior"))</f>
        <v>Mid</v>
      </c>
      <c r="O166">
        <f>YEAR(Table3[[#This Row],[Joining_Date]])</f>
        <v>2024</v>
      </c>
      <c r="P166" t="str">
        <f>IF(AND(Table3[[#This Row],[Performance]]&lt;=2,Table3[[#This Row],[Attrition]]="No"),"High Risk","Stable")</f>
        <v>High Risk</v>
      </c>
    </row>
    <row r="167" spans="1:16" x14ac:dyDescent="0.25">
      <c r="A167" t="s">
        <v>228</v>
      </c>
      <c r="B167" t="s">
        <v>60</v>
      </c>
      <c r="C167" t="s">
        <v>14</v>
      </c>
      <c r="D167">
        <v>39</v>
      </c>
      <c r="E167" t="s">
        <v>15</v>
      </c>
      <c r="F167" t="s">
        <v>28</v>
      </c>
      <c r="G167">
        <v>67414</v>
      </c>
      <c r="H167">
        <v>9</v>
      </c>
      <c r="I167" s="1">
        <v>45492</v>
      </c>
      <c r="J167">
        <v>2</v>
      </c>
      <c r="K167" t="s">
        <v>17</v>
      </c>
      <c r="L167" t="s">
        <v>39</v>
      </c>
      <c r="M167" t="str">
        <f>IF(Table3[[#This Row],[Age]]&lt;30,"Young",IF(Table3[[#This Row],[Age]]&lt;=40,"Mid","Senior"))</f>
        <v>Mid</v>
      </c>
      <c r="N167" t="str">
        <f>IF(Table3[[#This Row],[Experience]]&lt;3,"Junior",IF(Table3[[#This Row],[Experience]]&lt;=7,"Mid","Senior"))</f>
        <v>Senior</v>
      </c>
      <c r="O167">
        <f>YEAR(Table3[[#This Row],[Joining_Date]])</f>
        <v>2024</v>
      </c>
      <c r="P167" t="str">
        <f>IF(AND(Table3[[#This Row],[Performance]]&lt;=2,Table3[[#This Row],[Attrition]]="No"),"High Risk","Stable")</f>
        <v>High Risk</v>
      </c>
    </row>
    <row r="168" spans="1:16" x14ac:dyDescent="0.25">
      <c r="A168" t="s">
        <v>229</v>
      </c>
      <c r="B168" t="s">
        <v>63</v>
      </c>
      <c r="C168" t="s">
        <v>21</v>
      </c>
      <c r="D168">
        <v>28</v>
      </c>
      <c r="E168" t="s">
        <v>34</v>
      </c>
      <c r="F168" t="s">
        <v>41</v>
      </c>
      <c r="G168">
        <v>46878</v>
      </c>
      <c r="H168">
        <v>4</v>
      </c>
      <c r="I168" s="1">
        <v>45242</v>
      </c>
      <c r="J168">
        <v>4</v>
      </c>
      <c r="K168" t="s">
        <v>42</v>
      </c>
      <c r="L168" t="s">
        <v>43</v>
      </c>
      <c r="M168" t="str">
        <f>IF(Table3[[#This Row],[Age]]&lt;30,"Young",IF(Table3[[#This Row],[Age]]&lt;=40,"Mid","Senior"))</f>
        <v>Young</v>
      </c>
      <c r="N168" t="str">
        <f>IF(Table3[[#This Row],[Experience]]&lt;3,"Junior",IF(Table3[[#This Row],[Experience]]&lt;=7,"Mid","Senior"))</f>
        <v>Mid</v>
      </c>
      <c r="O168">
        <f>YEAR(Table3[[#This Row],[Joining_Date]])</f>
        <v>2023</v>
      </c>
      <c r="P168" t="str">
        <f>IF(AND(Table3[[#This Row],[Performance]]&lt;=2,Table3[[#This Row],[Attrition]]="No"),"High Risk","Stable")</f>
        <v>Stable</v>
      </c>
    </row>
    <row r="169" spans="1:16" x14ac:dyDescent="0.25">
      <c r="A169" t="s">
        <v>230</v>
      </c>
      <c r="B169" t="s">
        <v>27</v>
      </c>
      <c r="C169" t="s">
        <v>21</v>
      </c>
      <c r="D169">
        <v>24</v>
      </c>
      <c r="E169" t="s">
        <v>24</v>
      </c>
      <c r="F169" t="s">
        <v>49</v>
      </c>
      <c r="G169">
        <v>47067</v>
      </c>
      <c r="H169">
        <v>2</v>
      </c>
      <c r="I169" s="1">
        <v>43635</v>
      </c>
      <c r="J169">
        <v>4</v>
      </c>
      <c r="K169" t="s">
        <v>17</v>
      </c>
      <c r="L169" t="s">
        <v>18</v>
      </c>
      <c r="M169" t="str">
        <f>IF(Table3[[#This Row],[Age]]&lt;30,"Young",IF(Table3[[#This Row],[Age]]&lt;=40,"Mid","Senior"))</f>
        <v>Young</v>
      </c>
      <c r="N169" t="str">
        <f>IF(Table3[[#This Row],[Experience]]&lt;3,"Junior",IF(Table3[[#This Row],[Experience]]&lt;=7,"Mid","Senior"))</f>
        <v>Junior</v>
      </c>
      <c r="O169">
        <f>YEAR(Table3[[#This Row],[Joining_Date]])</f>
        <v>2019</v>
      </c>
      <c r="P169" t="str">
        <f>IF(AND(Table3[[#This Row],[Performance]]&lt;=2,Table3[[#This Row],[Attrition]]="No"),"High Risk","Stable")</f>
        <v>Stable</v>
      </c>
    </row>
    <row r="170" spans="1:16" x14ac:dyDescent="0.25">
      <c r="A170" t="s">
        <v>231</v>
      </c>
      <c r="B170" t="s">
        <v>60</v>
      </c>
      <c r="C170" t="s">
        <v>14</v>
      </c>
      <c r="D170">
        <v>36</v>
      </c>
      <c r="E170" t="s">
        <v>15</v>
      </c>
      <c r="F170" t="s">
        <v>80</v>
      </c>
      <c r="G170">
        <v>86142</v>
      </c>
      <c r="H170">
        <v>14</v>
      </c>
      <c r="I170" s="1">
        <v>44124</v>
      </c>
      <c r="J170">
        <v>3</v>
      </c>
      <c r="K170" t="s">
        <v>17</v>
      </c>
      <c r="L170" t="s">
        <v>43</v>
      </c>
      <c r="M170" t="str">
        <f>IF(Table3[[#This Row],[Age]]&lt;30,"Young",IF(Table3[[#This Row],[Age]]&lt;=40,"Mid","Senior"))</f>
        <v>Mid</v>
      </c>
      <c r="N170" t="str">
        <f>IF(Table3[[#This Row],[Experience]]&lt;3,"Junior",IF(Table3[[#This Row],[Experience]]&lt;=7,"Mid","Senior"))</f>
        <v>Senior</v>
      </c>
      <c r="O170">
        <f>YEAR(Table3[[#This Row],[Joining_Date]])</f>
        <v>2020</v>
      </c>
      <c r="P170" t="str">
        <f>IF(AND(Table3[[#This Row],[Performance]]&lt;=2,Table3[[#This Row],[Attrition]]="No"),"High Risk","Stable")</f>
        <v>Stable</v>
      </c>
    </row>
    <row r="171" spans="1:16" x14ac:dyDescent="0.25">
      <c r="A171" t="s">
        <v>232</v>
      </c>
      <c r="B171" t="s">
        <v>199</v>
      </c>
      <c r="C171" t="s">
        <v>14</v>
      </c>
      <c r="D171">
        <v>23</v>
      </c>
      <c r="E171" t="s">
        <v>34</v>
      </c>
      <c r="F171" t="s">
        <v>74</v>
      </c>
      <c r="G171">
        <v>46488</v>
      </c>
      <c r="H171">
        <v>2</v>
      </c>
      <c r="I171" s="1">
        <v>42631</v>
      </c>
      <c r="J171">
        <v>3</v>
      </c>
      <c r="K171" t="s">
        <v>17</v>
      </c>
      <c r="L171" t="s">
        <v>36</v>
      </c>
      <c r="M171" t="str">
        <f>IF(Table3[[#This Row],[Age]]&lt;30,"Young",IF(Table3[[#This Row],[Age]]&lt;=40,"Mid","Senior"))</f>
        <v>Young</v>
      </c>
      <c r="N171" t="str">
        <f>IF(Table3[[#This Row],[Experience]]&lt;3,"Junior",IF(Table3[[#This Row],[Experience]]&lt;=7,"Mid","Senior"))</f>
        <v>Junior</v>
      </c>
      <c r="O171">
        <f>YEAR(Table3[[#This Row],[Joining_Date]])</f>
        <v>2016</v>
      </c>
      <c r="P171" t="str">
        <f>IF(AND(Table3[[#This Row],[Performance]]&lt;=2,Table3[[#This Row],[Attrition]]="No"),"High Risk","Stable")</f>
        <v>Stable</v>
      </c>
    </row>
    <row r="172" spans="1:16" x14ac:dyDescent="0.25">
      <c r="A172" t="s">
        <v>233</v>
      </c>
      <c r="B172" t="s">
        <v>60</v>
      </c>
      <c r="C172" t="s">
        <v>14</v>
      </c>
      <c r="D172">
        <v>30</v>
      </c>
      <c r="E172" t="s">
        <v>34</v>
      </c>
      <c r="F172" t="s">
        <v>41</v>
      </c>
      <c r="G172">
        <v>58404</v>
      </c>
      <c r="H172">
        <v>6</v>
      </c>
      <c r="I172" s="1">
        <v>45922</v>
      </c>
      <c r="J172">
        <v>5</v>
      </c>
      <c r="K172" t="s">
        <v>17</v>
      </c>
      <c r="L172" t="s">
        <v>39</v>
      </c>
      <c r="M172" t="str">
        <f>IF(Table3[[#This Row],[Age]]&lt;30,"Young",IF(Table3[[#This Row],[Age]]&lt;=40,"Mid","Senior"))</f>
        <v>Mid</v>
      </c>
      <c r="N172" t="str">
        <f>IF(Table3[[#This Row],[Experience]]&lt;3,"Junior",IF(Table3[[#This Row],[Experience]]&lt;=7,"Mid","Senior"))</f>
        <v>Mid</v>
      </c>
      <c r="O172">
        <f>YEAR(Table3[[#This Row],[Joining_Date]])</f>
        <v>2025</v>
      </c>
      <c r="P172" t="str">
        <f>IF(AND(Table3[[#This Row],[Performance]]&lt;=2,Table3[[#This Row],[Attrition]]="No"),"High Risk","Stable")</f>
        <v>Stable</v>
      </c>
    </row>
    <row r="173" spans="1:16" x14ac:dyDescent="0.25">
      <c r="A173" t="s">
        <v>234</v>
      </c>
      <c r="B173" t="s">
        <v>66</v>
      </c>
      <c r="C173" t="s">
        <v>21</v>
      </c>
      <c r="D173">
        <v>40</v>
      </c>
      <c r="E173" t="s">
        <v>24</v>
      </c>
      <c r="F173" t="s">
        <v>25</v>
      </c>
      <c r="G173">
        <v>49804</v>
      </c>
      <c r="H173">
        <v>4</v>
      </c>
      <c r="I173" s="1">
        <v>44703</v>
      </c>
      <c r="J173">
        <v>5</v>
      </c>
      <c r="K173" t="s">
        <v>17</v>
      </c>
      <c r="L173" t="s">
        <v>43</v>
      </c>
      <c r="M173" t="str">
        <f>IF(Table3[[#This Row],[Age]]&lt;30,"Young",IF(Table3[[#This Row],[Age]]&lt;=40,"Mid","Senior"))</f>
        <v>Mid</v>
      </c>
      <c r="N173" t="str">
        <f>IF(Table3[[#This Row],[Experience]]&lt;3,"Junior",IF(Table3[[#This Row],[Experience]]&lt;=7,"Mid","Senior"))</f>
        <v>Mid</v>
      </c>
      <c r="O173">
        <f>YEAR(Table3[[#This Row],[Joining_Date]])</f>
        <v>2022</v>
      </c>
      <c r="P173" t="str">
        <f>IF(AND(Table3[[#This Row],[Performance]]&lt;=2,Table3[[#This Row],[Attrition]]="No"),"High Risk","Stable")</f>
        <v>Stable</v>
      </c>
    </row>
    <row r="174" spans="1:16" x14ac:dyDescent="0.25">
      <c r="A174" t="s">
        <v>235</v>
      </c>
      <c r="B174" t="s">
        <v>60</v>
      </c>
      <c r="C174" t="s">
        <v>21</v>
      </c>
      <c r="D174">
        <v>23</v>
      </c>
      <c r="E174" t="s">
        <v>24</v>
      </c>
      <c r="F174" t="s">
        <v>25</v>
      </c>
      <c r="G174">
        <v>52668</v>
      </c>
      <c r="H174">
        <v>2</v>
      </c>
      <c r="I174" s="1">
        <v>42868</v>
      </c>
      <c r="J174">
        <v>5</v>
      </c>
      <c r="K174" t="s">
        <v>17</v>
      </c>
      <c r="L174" t="s">
        <v>39</v>
      </c>
      <c r="M174" t="str">
        <f>IF(Table3[[#This Row],[Age]]&lt;30,"Young",IF(Table3[[#This Row],[Age]]&lt;=40,"Mid","Senior"))</f>
        <v>Young</v>
      </c>
      <c r="N174" t="str">
        <f>IF(Table3[[#This Row],[Experience]]&lt;3,"Junior",IF(Table3[[#This Row],[Experience]]&lt;=7,"Mid","Senior"))</f>
        <v>Junior</v>
      </c>
      <c r="O174">
        <f>YEAR(Table3[[#This Row],[Joining_Date]])</f>
        <v>2017</v>
      </c>
      <c r="P174" t="str">
        <f>IF(AND(Table3[[#This Row],[Performance]]&lt;=2,Table3[[#This Row],[Attrition]]="No"),"High Risk","Stable")</f>
        <v>Stable</v>
      </c>
    </row>
    <row r="175" spans="1:16" x14ac:dyDescent="0.25">
      <c r="A175" t="s">
        <v>236</v>
      </c>
      <c r="B175" t="s">
        <v>56</v>
      </c>
      <c r="C175" t="s">
        <v>14</v>
      </c>
      <c r="D175">
        <v>37</v>
      </c>
      <c r="E175" t="s">
        <v>15</v>
      </c>
      <c r="F175" t="s">
        <v>71</v>
      </c>
      <c r="G175">
        <v>68722</v>
      </c>
      <c r="H175">
        <v>7</v>
      </c>
      <c r="I175" s="1">
        <v>43668</v>
      </c>
      <c r="J175">
        <v>3</v>
      </c>
      <c r="K175" t="s">
        <v>17</v>
      </c>
      <c r="L175" t="s">
        <v>39</v>
      </c>
      <c r="M175" t="str">
        <f>IF(Table3[[#This Row],[Age]]&lt;30,"Young",IF(Table3[[#This Row],[Age]]&lt;=40,"Mid","Senior"))</f>
        <v>Mid</v>
      </c>
      <c r="N175" t="str">
        <f>IF(Table3[[#This Row],[Experience]]&lt;3,"Junior",IF(Table3[[#This Row],[Experience]]&lt;=7,"Mid","Senior"))</f>
        <v>Mid</v>
      </c>
      <c r="O175">
        <f>YEAR(Table3[[#This Row],[Joining_Date]])</f>
        <v>2019</v>
      </c>
      <c r="P175" t="str">
        <f>IF(AND(Table3[[#This Row],[Performance]]&lt;=2,Table3[[#This Row],[Attrition]]="No"),"High Risk","Stable")</f>
        <v>Stable</v>
      </c>
    </row>
    <row r="176" spans="1:16" x14ac:dyDescent="0.25">
      <c r="A176" t="s">
        <v>237</v>
      </c>
      <c r="B176" t="s">
        <v>23</v>
      </c>
      <c r="C176" t="s">
        <v>14</v>
      </c>
      <c r="D176">
        <v>37</v>
      </c>
      <c r="E176" t="s">
        <v>15</v>
      </c>
      <c r="F176" t="s">
        <v>80</v>
      </c>
      <c r="G176">
        <v>78342</v>
      </c>
      <c r="H176">
        <v>14</v>
      </c>
      <c r="I176" s="1">
        <v>43398</v>
      </c>
      <c r="J176">
        <v>5</v>
      </c>
      <c r="K176" t="s">
        <v>17</v>
      </c>
      <c r="L176" t="s">
        <v>39</v>
      </c>
      <c r="M176" t="str">
        <f>IF(Table3[[#This Row],[Age]]&lt;30,"Young",IF(Table3[[#This Row],[Age]]&lt;=40,"Mid","Senior"))</f>
        <v>Mid</v>
      </c>
      <c r="N176" t="str">
        <f>IF(Table3[[#This Row],[Experience]]&lt;3,"Junior",IF(Table3[[#This Row],[Experience]]&lt;=7,"Mid","Senior"))</f>
        <v>Senior</v>
      </c>
      <c r="O176">
        <f>YEAR(Table3[[#This Row],[Joining_Date]])</f>
        <v>2018</v>
      </c>
      <c r="P176" t="str">
        <f>IF(AND(Table3[[#This Row],[Performance]]&lt;=2,Table3[[#This Row],[Attrition]]="No"),"High Risk","Stable")</f>
        <v>Stable</v>
      </c>
    </row>
    <row r="177" spans="1:16" x14ac:dyDescent="0.25">
      <c r="A177" t="s">
        <v>238</v>
      </c>
      <c r="B177" t="s">
        <v>88</v>
      </c>
      <c r="C177" t="s">
        <v>14</v>
      </c>
      <c r="D177">
        <v>33</v>
      </c>
      <c r="E177" t="s">
        <v>24</v>
      </c>
      <c r="F177" t="s">
        <v>124</v>
      </c>
      <c r="G177">
        <v>49728</v>
      </c>
      <c r="H177">
        <v>3</v>
      </c>
      <c r="I177" s="1">
        <v>42995</v>
      </c>
      <c r="J177">
        <v>4</v>
      </c>
      <c r="K177" t="s">
        <v>17</v>
      </c>
      <c r="L177" t="s">
        <v>18</v>
      </c>
      <c r="M177" t="str">
        <f>IF(Table3[[#This Row],[Age]]&lt;30,"Young",IF(Table3[[#This Row],[Age]]&lt;=40,"Mid","Senior"))</f>
        <v>Mid</v>
      </c>
      <c r="N177" t="str">
        <f>IF(Table3[[#This Row],[Experience]]&lt;3,"Junior",IF(Table3[[#This Row],[Experience]]&lt;=7,"Mid","Senior"))</f>
        <v>Mid</v>
      </c>
      <c r="O177">
        <f>YEAR(Table3[[#This Row],[Joining_Date]])</f>
        <v>2017</v>
      </c>
      <c r="P177" t="str">
        <f>IF(AND(Table3[[#This Row],[Performance]]&lt;=2,Table3[[#This Row],[Attrition]]="No"),"High Risk","Stable")</f>
        <v>Stable</v>
      </c>
    </row>
    <row r="178" spans="1:16" x14ac:dyDescent="0.25">
      <c r="A178" t="s">
        <v>239</v>
      </c>
      <c r="B178" t="s">
        <v>78</v>
      </c>
      <c r="C178" t="s">
        <v>21</v>
      </c>
      <c r="D178">
        <v>31</v>
      </c>
      <c r="E178" t="s">
        <v>34</v>
      </c>
      <c r="F178" t="s">
        <v>74</v>
      </c>
      <c r="G178">
        <v>68082</v>
      </c>
      <c r="H178">
        <v>10</v>
      </c>
      <c r="I178" s="1">
        <v>43717</v>
      </c>
      <c r="J178">
        <v>2</v>
      </c>
      <c r="K178" t="s">
        <v>17</v>
      </c>
      <c r="L178" t="s">
        <v>36</v>
      </c>
      <c r="M178" t="str">
        <f>IF(Table3[[#This Row],[Age]]&lt;30,"Young",IF(Table3[[#This Row],[Age]]&lt;=40,"Mid","Senior"))</f>
        <v>Mid</v>
      </c>
      <c r="N178" t="str">
        <f>IF(Table3[[#This Row],[Experience]]&lt;3,"Junior",IF(Table3[[#This Row],[Experience]]&lt;=7,"Mid","Senior"))</f>
        <v>Senior</v>
      </c>
      <c r="O178">
        <f>YEAR(Table3[[#This Row],[Joining_Date]])</f>
        <v>2019</v>
      </c>
      <c r="P178" t="str">
        <f>IF(AND(Table3[[#This Row],[Performance]]&lt;=2,Table3[[#This Row],[Attrition]]="No"),"High Risk","Stable")</f>
        <v>High Risk</v>
      </c>
    </row>
    <row r="179" spans="1:16" x14ac:dyDescent="0.25">
      <c r="A179" t="s">
        <v>240</v>
      </c>
      <c r="B179" t="s">
        <v>58</v>
      </c>
      <c r="C179" t="s">
        <v>21</v>
      </c>
      <c r="D179">
        <v>38</v>
      </c>
      <c r="E179" t="s">
        <v>24</v>
      </c>
      <c r="F179" t="s">
        <v>46</v>
      </c>
      <c r="G179">
        <v>80171</v>
      </c>
      <c r="H179">
        <v>14</v>
      </c>
      <c r="I179" s="1">
        <v>45605</v>
      </c>
      <c r="J179">
        <v>3</v>
      </c>
      <c r="K179" t="s">
        <v>17</v>
      </c>
      <c r="L179" t="s">
        <v>31</v>
      </c>
      <c r="M179" t="str">
        <f>IF(Table3[[#This Row],[Age]]&lt;30,"Young",IF(Table3[[#This Row],[Age]]&lt;=40,"Mid","Senior"))</f>
        <v>Mid</v>
      </c>
      <c r="N179" t="str">
        <f>IF(Table3[[#This Row],[Experience]]&lt;3,"Junior",IF(Table3[[#This Row],[Experience]]&lt;=7,"Mid","Senior"))</f>
        <v>Senior</v>
      </c>
      <c r="O179">
        <f>YEAR(Table3[[#This Row],[Joining_Date]])</f>
        <v>2024</v>
      </c>
      <c r="P179" t="str">
        <f>IF(AND(Table3[[#This Row],[Performance]]&lt;=2,Table3[[#This Row],[Attrition]]="No"),"High Risk","Stable")</f>
        <v>Stable</v>
      </c>
    </row>
    <row r="180" spans="1:16" x14ac:dyDescent="0.25">
      <c r="A180" t="s">
        <v>241</v>
      </c>
      <c r="B180" t="s">
        <v>20</v>
      </c>
      <c r="C180" t="s">
        <v>21</v>
      </c>
      <c r="D180">
        <v>40</v>
      </c>
      <c r="E180" t="s">
        <v>67</v>
      </c>
      <c r="F180" t="s">
        <v>110</v>
      </c>
      <c r="G180">
        <v>63297</v>
      </c>
      <c r="H180">
        <v>11</v>
      </c>
      <c r="I180" s="1">
        <v>42212</v>
      </c>
      <c r="J180">
        <v>3</v>
      </c>
      <c r="K180" t="s">
        <v>17</v>
      </c>
      <c r="L180" t="s">
        <v>39</v>
      </c>
      <c r="M180" t="str">
        <f>IF(Table3[[#This Row],[Age]]&lt;30,"Young",IF(Table3[[#This Row],[Age]]&lt;=40,"Mid","Senior"))</f>
        <v>Mid</v>
      </c>
      <c r="N180" t="str">
        <f>IF(Table3[[#This Row],[Experience]]&lt;3,"Junior",IF(Table3[[#This Row],[Experience]]&lt;=7,"Mid","Senior"))</f>
        <v>Senior</v>
      </c>
      <c r="O180">
        <f>YEAR(Table3[[#This Row],[Joining_Date]])</f>
        <v>2015</v>
      </c>
      <c r="P180" t="str">
        <f>IF(AND(Table3[[#This Row],[Performance]]&lt;=2,Table3[[#This Row],[Attrition]]="No"),"High Risk","Stable")</f>
        <v>Stable</v>
      </c>
    </row>
    <row r="181" spans="1:16" x14ac:dyDescent="0.25">
      <c r="A181" t="s">
        <v>242</v>
      </c>
      <c r="B181" t="s">
        <v>63</v>
      </c>
      <c r="C181" t="s">
        <v>21</v>
      </c>
      <c r="D181">
        <v>35</v>
      </c>
      <c r="E181" t="s">
        <v>67</v>
      </c>
      <c r="F181" t="s">
        <v>76</v>
      </c>
      <c r="G181">
        <v>49333</v>
      </c>
      <c r="H181">
        <v>4</v>
      </c>
      <c r="I181" s="1">
        <v>44984</v>
      </c>
      <c r="J181">
        <v>3</v>
      </c>
      <c r="K181" t="s">
        <v>17</v>
      </c>
      <c r="L181" t="s">
        <v>36</v>
      </c>
      <c r="M181" t="str">
        <f>IF(Table3[[#This Row],[Age]]&lt;30,"Young",IF(Table3[[#This Row],[Age]]&lt;=40,"Mid","Senior"))</f>
        <v>Mid</v>
      </c>
      <c r="N181" t="str">
        <f>IF(Table3[[#This Row],[Experience]]&lt;3,"Junior",IF(Table3[[#This Row],[Experience]]&lt;=7,"Mid","Senior"))</f>
        <v>Mid</v>
      </c>
      <c r="O181">
        <f>YEAR(Table3[[#This Row],[Joining_Date]])</f>
        <v>2023</v>
      </c>
      <c r="P181" t="str">
        <f>IF(AND(Table3[[#This Row],[Performance]]&lt;=2,Table3[[#This Row],[Attrition]]="No"),"High Risk","Stable")</f>
        <v>Stable</v>
      </c>
    </row>
    <row r="182" spans="1:16" x14ac:dyDescent="0.25">
      <c r="A182" t="s">
        <v>243</v>
      </c>
      <c r="B182" t="s">
        <v>66</v>
      </c>
      <c r="C182" t="s">
        <v>21</v>
      </c>
      <c r="D182">
        <v>39</v>
      </c>
      <c r="E182" t="s">
        <v>15</v>
      </c>
      <c r="F182" t="s">
        <v>71</v>
      </c>
      <c r="G182">
        <v>60939</v>
      </c>
      <c r="H182">
        <v>6</v>
      </c>
      <c r="I182" s="1">
        <v>44271</v>
      </c>
      <c r="J182">
        <v>3</v>
      </c>
      <c r="K182" t="s">
        <v>42</v>
      </c>
      <c r="L182" t="s">
        <v>43</v>
      </c>
      <c r="M182" t="str">
        <f>IF(Table3[[#This Row],[Age]]&lt;30,"Young",IF(Table3[[#This Row],[Age]]&lt;=40,"Mid","Senior"))</f>
        <v>Mid</v>
      </c>
      <c r="N182" t="str">
        <f>IF(Table3[[#This Row],[Experience]]&lt;3,"Junior",IF(Table3[[#This Row],[Experience]]&lt;=7,"Mid","Senior"))</f>
        <v>Mid</v>
      </c>
      <c r="O182">
        <f>YEAR(Table3[[#This Row],[Joining_Date]])</f>
        <v>2021</v>
      </c>
      <c r="P182" t="str">
        <f>IF(AND(Table3[[#This Row],[Performance]]&lt;=2,Table3[[#This Row],[Attrition]]="No"),"High Risk","Stable")</f>
        <v>Stable</v>
      </c>
    </row>
    <row r="183" spans="1:16" x14ac:dyDescent="0.25">
      <c r="A183" t="s">
        <v>244</v>
      </c>
      <c r="B183" t="s">
        <v>88</v>
      </c>
      <c r="C183" t="s">
        <v>21</v>
      </c>
      <c r="D183">
        <v>25</v>
      </c>
      <c r="E183" t="s">
        <v>67</v>
      </c>
      <c r="F183" t="s">
        <v>76</v>
      </c>
      <c r="G183">
        <v>51114</v>
      </c>
      <c r="H183">
        <v>4</v>
      </c>
      <c r="I183" s="1">
        <v>45260</v>
      </c>
      <c r="J183">
        <v>3</v>
      </c>
      <c r="K183" t="s">
        <v>17</v>
      </c>
      <c r="L183" t="s">
        <v>36</v>
      </c>
      <c r="M183" t="str">
        <f>IF(Table3[[#This Row],[Age]]&lt;30,"Young",IF(Table3[[#This Row],[Age]]&lt;=40,"Mid","Senior"))</f>
        <v>Young</v>
      </c>
      <c r="N183" t="str">
        <f>IF(Table3[[#This Row],[Experience]]&lt;3,"Junior",IF(Table3[[#This Row],[Experience]]&lt;=7,"Mid","Senior"))</f>
        <v>Mid</v>
      </c>
      <c r="O183">
        <f>YEAR(Table3[[#This Row],[Joining_Date]])</f>
        <v>2023</v>
      </c>
      <c r="P183" t="str">
        <f>IF(AND(Table3[[#This Row],[Performance]]&lt;=2,Table3[[#This Row],[Attrition]]="No"),"High Risk","Stable")</f>
        <v>Stable</v>
      </c>
    </row>
    <row r="184" spans="1:16" x14ac:dyDescent="0.25">
      <c r="A184" t="s">
        <v>245</v>
      </c>
      <c r="B184" t="s">
        <v>199</v>
      </c>
      <c r="C184" t="s">
        <v>14</v>
      </c>
      <c r="D184">
        <v>23</v>
      </c>
      <c r="E184" t="s">
        <v>34</v>
      </c>
      <c r="F184" t="s">
        <v>74</v>
      </c>
      <c r="G184">
        <v>36137</v>
      </c>
      <c r="H184">
        <v>1</v>
      </c>
      <c r="I184" s="1">
        <v>42566</v>
      </c>
      <c r="J184">
        <v>3</v>
      </c>
      <c r="K184" t="s">
        <v>17</v>
      </c>
      <c r="L184" t="s">
        <v>43</v>
      </c>
      <c r="M184" t="str">
        <f>IF(Table3[[#This Row],[Age]]&lt;30,"Young",IF(Table3[[#This Row],[Age]]&lt;=40,"Mid","Senior"))</f>
        <v>Young</v>
      </c>
      <c r="N184" t="str">
        <f>IF(Table3[[#This Row],[Experience]]&lt;3,"Junior",IF(Table3[[#This Row],[Experience]]&lt;=7,"Mid","Senior"))</f>
        <v>Junior</v>
      </c>
      <c r="O184">
        <f>YEAR(Table3[[#This Row],[Joining_Date]])</f>
        <v>2016</v>
      </c>
      <c r="P184" t="str">
        <f>IF(AND(Table3[[#This Row],[Performance]]&lt;=2,Table3[[#This Row],[Attrition]]="No"),"High Risk","Stable")</f>
        <v>Stable</v>
      </c>
    </row>
    <row r="185" spans="1:16" x14ac:dyDescent="0.25">
      <c r="A185" t="s">
        <v>246</v>
      </c>
      <c r="B185" t="s">
        <v>54</v>
      </c>
      <c r="C185" t="s">
        <v>21</v>
      </c>
      <c r="D185">
        <v>41</v>
      </c>
      <c r="E185" t="s">
        <v>67</v>
      </c>
      <c r="F185" t="s">
        <v>68</v>
      </c>
      <c r="G185">
        <v>62662</v>
      </c>
      <c r="H185">
        <v>10</v>
      </c>
      <c r="I185" s="1">
        <v>43614</v>
      </c>
      <c r="J185">
        <v>5</v>
      </c>
      <c r="K185" t="s">
        <v>17</v>
      </c>
      <c r="L185" t="s">
        <v>36</v>
      </c>
      <c r="M185" t="str">
        <f>IF(Table3[[#This Row],[Age]]&lt;30,"Young",IF(Table3[[#This Row],[Age]]&lt;=40,"Mid","Senior"))</f>
        <v>Senior</v>
      </c>
      <c r="N185" t="str">
        <f>IF(Table3[[#This Row],[Experience]]&lt;3,"Junior",IF(Table3[[#This Row],[Experience]]&lt;=7,"Mid","Senior"))</f>
        <v>Senior</v>
      </c>
      <c r="O185">
        <f>YEAR(Table3[[#This Row],[Joining_Date]])</f>
        <v>2019</v>
      </c>
      <c r="P185" t="str">
        <f>IF(AND(Table3[[#This Row],[Performance]]&lt;=2,Table3[[#This Row],[Attrition]]="No"),"High Risk","Stable")</f>
        <v>Stable</v>
      </c>
    </row>
    <row r="186" spans="1:16" x14ac:dyDescent="0.25">
      <c r="A186" t="s">
        <v>247</v>
      </c>
      <c r="B186" t="s">
        <v>58</v>
      </c>
      <c r="C186" t="s">
        <v>14</v>
      </c>
      <c r="D186">
        <v>22</v>
      </c>
      <c r="E186" t="s">
        <v>24</v>
      </c>
      <c r="F186" t="s">
        <v>49</v>
      </c>
      <c r="G186">
        <v>44927</v>
      </c>
      <c r="H186">
        <v>1</v>
      </c>
      <c r="I186" s="1">
        <v>44764</v>
      </c>
      <c r="J186">
        <v>1</v>
      </c>
      <c r="K186" t="s">
        <v>17</v>
      </c>
      <c r="L186" t="s">
        <v>39</v>
      </c>
      <c r="M186" t="str">
        <f>IF(Table3[[#This Row],[Age]]&lt;30,"Young",IF(Table3[[#This Row],[Age]]&lt;=40,"Mid","Senior"))</f>
        <v>Young</v>
      </c>
      <c r="N186" t="str">
        <f>IF(Table3[[#This Row],[Experience]]&lt;3,"Junior",IF(Table3[[#This Row],[Experience]]&lt;=7,"Mid","Senior"))</f>
        <v>Junior</v>
      </c>
      <c r="O186">
        <f>YEAR(Table3[[#This Row],[Joining_Date]])</f>
        <v>2022</v>
      </c>
      <c r="P186" t="str">
        <f>IF(AND(Table3[[#This Row],[Performance]]&lt;=2,Table3[[#This Row],[Attrition]]="No"),"High Risk","Stable")</f>
        <v>High Risk</v>
      </c>
    </row>
    <row r="187" spans="1:16" x14ac:dyDescent="0.25">
      <c r="A187" t="s">
        <v>248</v>
      </c>
      <c r="B187" t="s">
        <v>33</v>
      </c>
      <c r="C187" t="s">
        <v>14</v>
      </c>
      <c r="D187">
        <v>42</v>
      </c>
      <c r="E187" t="s">
        <v>15</v>
      </c>
      <c r="F187" t="s">
        <v>30</v>
      </c>
      <c r="G187">
        <v>69319</v>
      </c>
      <c r="H187">
        <v>7</v>
      </c>
      <c r="I187" s="1">
        <v>42215</v>
      </c>
      <c r="J187">
        <v>5</v>
      </c>
      <c r="K187" t="s">
        <v>17</v>
      </c>
      <c r="L187" t="s">
        <v>43</v>
      </c>
      <c r="M187" t="str">
        <f>IF(Table3[[#This Row],[Age]]&lt;30,"Young",IF(Table3[[#This Row],[Age]]&lt;=40,"Mid","Senior"))</f>
        <v>Senior</v>
      </c>
      <c r="N187" t="str">
        <f>IF(Table3[[#This Row],[Experience]]&lt;3,"Junior",IF(Table3[[#This Row],[Experience]]&lt;=7,"Mid","Senior"))</f>
        <v>Mid</v>
      </c>
      <c r="O187">
        <f>YEAR(Table3[[#This Row],[Joining_Date]])</f>
        <v>2015</v>
      </c>
      <c r="P187" t="str">
        <f>IF(AND(Table3[[#This Row],[Performance]]&lt;=2,Table3[[#This Row],[Attrition]]="No"),"High Risk","Stable")</f>
        <v>Stable</v>
      </c>
    </row>
    <row r="188" spans="1:16" x14ac:dyDescent="0.25">
      <c r="A188" t="s">
        <v>249</v>
      </c>
      <c r="B188" t="s">
        <v>78</v>
      </c>
      <c r="C188" t="s">
        <v>21</v>
      </c>
      <c r="D188">
        <v>40</v>
      </c>
      <c r="E188" t="s">
        <v>67</v>
      </c>
      <c r="F188" t="s">
        <v>68</v>
      </c>
      <c r="G188">
        <v>45625</v>
      </c>
      <c r="H188">
        <v>3</v>
      </c>
      <c r="I188" s="1">
        <v>42082</v>
      </c>
      <c r="J188">
        <v>4</v>
      </c>
      <c r="K188" t="s">
        <v>17</v>
      </c>
      <c r="L188" t="s">
        <v>50</v>
      </c>
      <c r="M188" t="str">
        <f>IF(Table3[[#This Row],[Age]]&lt;30,"Young",IF(Table3[[#This Row],[Age]]&lt;=40,"Mid","Senior"))</f>
        <v>Mid</v>
      </c>
      <c r="N188" t="str">
        <f>IF(Table3[[#This Row],[Experience]]&lt;3,"Junior",IF(Table3[[#This Row],[Experience]]&lt;=7,"Mid","Senior"))</f>
        <v>Mid</v>
      </c>
      <c r="O188">
        <f>YEAR(Table3[[#This Row],[Joining_Date]])</f>
        <v>2015</v>
      </c>
      <c r="P188" t="str">
        <f>IF(AND(Table3[[#This Row],[Performance]]&lt;=2,Table3[[#This Row],[Attrition]]="No"),"High Risk","Stable")</f>
        <v>Stable</v>
      </c>
    </row>
    <row r="189" spans="1:16" x14ac:dyDescent="0.25">
      <c r="A189" t="s">
        <v>250</v>
      </c>
      <c r="B189" t="s">
        <v>199</v>
      </c>
      <c r="C189" t="s">
        <v>14</v>
      </c>
      <c r="D189">
        <v>41</v>
      </c>
      <c r="E189" t="s">
        <v>67</v>
      </c>
      <c r="F189" t="s">
        <v>68</v>
      </c>
      <c r="G189">
        <v>84555</v>
      </c>
      <c r="H189">
        <v>15</v>
      </c>
      <c r="I189" s="1">
        <v>44984</v>
      </c>
      <c r="J189">
        <v>1</v>
      </c>
      <c r="K189" t="s">
        <v>17</v>
      </c>
      <c r="L189" t="s">
        <v>43</v>
      </c>
      <c r="M189" t="str">
        <f>IF(Table3[[#This Row],[Age]]&lt;30,"Young",IF(Table3[[#This Row],[Age]]&lt;=40,"Mid","Senior"))</f>
        <v>Senior</v>
      </c>
      <c r="N189" t="str">
        <f>IF(Table3[[#This Row],[Experience]]&lt;3,"Junior",IF(Table3[[#This Row],[Experience]]&lt;=7,"Mid","Senior"))</f>
        <v>Senior</v>
      </c>
      <c r="O189">
        <f>YEAR(Table3[[#This Row],[Joining_Date]])</f>
        <v>2023</v>
      </c>
      <c r="P189" t="str">
        <f>IF(AND(Table3[[#This Row],[Performance]]&lt;=2,Table3[[#This Row],[Attrition]]="No"),"High Risk","Stable")</f>
        <v>High Risk</v>
      </c>
    </row>
    <row r="190" spans="1:16" x14ac:dyDescent="0.25">
      <c r="A190" t="s">
        <v>251</v>
      </c>
      <c r="B190" t="s">
        <v>54</v>
      </c>
      <c r="C190" t="s">
        <v>14</v>
      </c>
      <c r="D190">
        <v>27</v>
      </c>
      <c r="E190" t="s">
        <v>24</v>
      </c>
      <c r="F190" t="s">
        <v>49</v>
      </c>
      <c r="G190">
        <v>60734</v>
      </c>
      <c r="H190">
        <v>6</v>
      </c>
      <c r="I190" s="1">
        <v>43407</v>
      </c>
      <c r="J190">
        <v>5</v>
      </c>
      <c r="K190" t="s">
        <v>17</v>
      </c>
      <c r="L190" t="s">
        <v>39</v>
      </c>
      <c r="M190" t="str">
        <f>IF(Table3[[#This Row],[Age]]&lt;30,"Young",IF(Table3[[#This Row],[Age]]&lt;=40,"Mid","Senior"))</f>
        <v>Young</v>
      </c>
      <c r="N190" t="str">
        <f>IF(Table3[[#This Row],[Experience]]&lt;3,"Junior",IF(Table3[[#This Row],[Experience]]&lt;=7,"Mid","Senior"))</f>
        <v>Mid</v>
      </c>
      <c r="O190">
        <f>YEAR(Table3[[#This Row],[Joining_Date]])</f>
        <v>2018</v>
      </c>
      <c r="P190" t="str">
        <f>IF(AND(Table3[[#This Row],[Performance]]&lt;=2,Table3[[#This Row],[Attrition]]="No"),"High Risk","Stable")</f>
        <v>Stable</v>
      </c>
    </row>
    <row r="191" spans="1:16" x14ac:dyDescent="0.25">
      <c r="A191" t="s">
        <v>252</v>
      </c>
      <c r="B191" t="s">
        <v>13</v>
      </c>
      <c r="C191" t="s">
        <v>21</v>
      </c>
      <c r="D191">
        <v>30</v>
      </c>
      <c r="E191" t="s">
        <v>24</v>
      </c>
      <c r="F191" t="s">
        <v>49</v>
      </c>
      <c r="G191">
        <v>63184</v>
      </c>
      <c r="H191">
        <v>9</v>
      </c>
      <c r="I191" s="1">
        <v>45861</v>
      </c>
      <c r="J191">
        <v>3</v>
      </c>
      <c r="K191" t="s">
        <v>17</v>
      </c>
      <c r="L191" t="s">
        <v>39</v>
      </c>
      <c r="M191" t="str">
        <f>IF(Table3[[#This Row],[Age]]&lt;30,"Young",IF(Table3[[#This Row],[Age]]&lt;=40,"Mid","Senior"))</f>
        <v>Mid</v>
      </c>
      <c r="N191" t="str">
        <f>IF(Table3[[#This Row],[Experience]]&lt;3,"Junior",IF(Table3[[#This Row],[Experience]]&lt;=7,"Mid","Senior"))</f>
        <v>Senior</v>
      </c>
      <c r="O191">
        <f>YEAR(Table3[[#This Row],[Joining_Date]])</f>
        <v>2025</v>
      </c>
      <c r="P191" t="str">
        <f>IF(AND(Table3[[#This Row],[Performance]]&lt;=2,Table3[[#This Row],[Attrition]]="No"),"High Risk","Stable")</f>
        <v>Stable</v>
      </c>
    </row>
    <row r="192" spans="1:16" x14ac:dyDescent="0.25">
      <c r="A192" t="s">
        <v>253</v>
      </c>
      <c r="B192" t="s">
        <v>58</v>
      </c>
      <c r="C192" t="s">
        <v>14</v>
      </c>
      <c r="D192">
        <v>33</v>
      </c>
      <c r="E192" t="s">
        <v>34</v>
      </c>
      <c r="F192" t="s">
        <v>52</v>
      </c>
      <c r="G192">
        <v>57715</v>
      </c>
      <c r="H192">
        <v>8</v>
      </c>
      <c r="I192" s="1">
        <v>42504</v>
      </c>
      <c r="J192">
        <v>5</v>
      </c>
      <c r="K192" t="s">
        <v>17</v>
      </c>
      <c r="L192" t="s">
        <v>18</v>
      </c>
      <c r="M192" t="str">
        <f>IF(Table3[[#This Row],[Age]]&lt;30,"Young",IF(Table3[[#This Row],[Age]]&lt;=40,"Mid","Senior"))</f>
        <v>Mid</v>
      </c>
      <c r="N192" t="str">
        <f>IF(Table3[[#This Row],[Experience]]&lt;3,"Junior",IF(Table3[[#This Row],[Experience]]&lt;=7,"Mid","Senior"))</f>
        <v>Senior</v>
      </c>
      <c r="O192">
        <f>YEAR(Table3[[#This Row],[Joining_Date]])</f>
        <v>2016</v>
      </c>
      <c r="P192" t="str">
        <f>IF(AND(Table3[[#This Row],[Performance]]&lt;=2,Table3[[#This Row],[Attrition]]="No"),"High Risk","Stable")</f>
        <v>Stable</v>
      </c>
    </row>
    <row r="193" spans="1:16" x14ac:dyDescent="0.25">
      <c r="A193" t="s">
        <v>254</v>
      </c>
      <c r="B193" t="s">
        <v>56</v>
      </c>
      <c r="C193" t="s">
        <v>21</v>
      </c>
      <c r="D193">
        <v>23</v>
      </c>
      <c r="E193" t="s">
        <v>67</v>
      </c>
      <c r="F193" t="s">
        <v>76</v>
      </c>
      <c r="G193">
        <v>51700</v>
      </c>
      <c r="H193">
        <v>2</v>
      </c>
      <c r="I193" s="1">
        <v>42328</v>
      </c>
      <c r="J193">
        <v>3</v>
      </c>
      <c r="K193" t="s">
        <v>17</v>
      </c>
      <c r="L193" t="s">
        <v>39</v>
      </c>
      <c r="M193" t="str">
        <f>IF(Table3[[#This Row],[Age]]&lt;30,"Young",IF(Table3[[#This Row],[Age]]&lt;=40,"Mid","Senior"))</f>
        <v>Young</v>
      </c>
      <c r="N193" t="str">
        <f>IF(Table3[[#This Row],[Experience]]&lt;3,"Junior",IF(Table3[[#This Row],[Experience]]&lt;=7,"Mid","Senior"))</f>
        <v>Junior</v>
      </c>
      <c r="O193">
        <f>YEAR(Table3[[#This Row],[Joining_Date]])</f>
        <v>2015</v>
      </c>
      <c r="P193" t="str">
        <f>IF(AND(Table3[[#This Row],[Performance]]&lt;=2,Table3[[#This Row],[Attrition]]="No"),"High Risk","Stable")</f>
        <v>Stable</v>
      </c>
    </row>
    <row r="194" spans="1:16" x14ac:dyDescent="0.25">
      <c r="A194" t="s">
        <v>255</v>
      </c>
      <c r="B194" t="s">
        <v>20</v>
      </c>
      <c r="C194" t="s">
        <v>21</v>
      </c>
      <c r="D194">
        <v>39</v>
      </c>
      <c r="E194" t="s">
        <v>24</v>
      </c>
      <c r="F194" t="s">
        <v>49</v>
      </c>
      <c r="G194">
        <v>66208</v>
      </c>
      <c r="H194">
        <v>8</v>
      </c>
      <c r="I194" s="1">
        <v>44856</v>
      </c>
      <c r="J194">
        <v>3</v>
      </c>
      <c r="K194" t="s">
        <v>17</v>
      </c>
      <c r="L194" t="s">
        <v>43</v>
      </c>
      <c r="M194" t="str">
        <f>IF(Table3[[#This Row],[Age]]&lt;30,"Young",IF(Table3[[#This Row],[Age]]&lt;=40,"Mid","Senior"))</f>
        <v>Mid</v>
      </c>
      <c r="N194" t="str">
        <f>IF(Table3[[#This Row],[Experience]]&lt;3,"Junior",IF(Table3[[#This Row],[Experience]]&lt;=7,"Mid","Senior"))</f>
        <v>Senior</v>
      </c>
      <c r="O194">
        <f>YEAR(Table3[[#This Row],[Joining_Date]])</f>
        <v>2022</v>
      </c>
      <c r="P194" t="str">
        <f>IF(AND(Table3[[#This Row],[Performance]]&lt;=2,Table3[[#This Row],[Attrition]]="No"),"High Risk","Stable")</f>
        <v>Stable</v>
      </c>
    </row>
    <row r="195" spans="1:16" x14ac:dyDescent="0.25">
      <c r="A195" t="s">
        <v>256</v>
      </c>
      <c r="B195" t="s">
        <v>199</v>
      </c>
      <c r="C195" t="s">
        <v>21</v>
      </c>
      <c r="D195">
        <v>29</v>
      </c>
      <c r="E195" t="s">
        <v>34</v>
      </c>
      <c r="F195" t="s">
        <v>74</v>
      </c>
      <c r="G195">
        <v>51360</v>
      </c>
      <c r="H195">
        <v>7</v>
      </c>
      <c r="I195" s="1">
        <v>42415</v>
      </c>
      <c r="J195">
        <v>4</v>
      </c>
      <c r="K195" t="s">
        <v>17</v>
      </c>
      <c r="L195" t="s">
        <v>18</v>
      </c>
      <c r="M195" t="str">
        <f>IF(Table3[[#This Row],[Age]]&lt;30,"Young",IF(Table3[[#This Row],[Age]]&lt;=40,"Mid","Senior"))</f>
        <v>Young</v>
      </c>
      <c r="N195" t="str">
        <f>IF(Table3[[#This Row],[Experience]]&lt;3,"Junior",IF(Table3[[#This Row],[Experience]]&lt;=7,"Mid","Senior"))</f>
        <v>Mid</v>
      </c>
      <c r="O195">
        <f>YEAR(Table3[[#This Row],[Joining_Date]])</f>
        <v>2016</v>
      </c>
      <c r="P195" t="str">
        <f>IF(AND(Table3[[#This Row],[Performance]]&lt;=2,Table3[[#This Row],[Attrition]]="No"),"High Risk","Stable")</f>
        <v>Stable</v>
      </c>
    </row>
    <row r="196" spans="1:16" x14ac:dyDescent="0.25">
      <c r="A196" t="s">
        <v>257</v>
      </c>
      <c r="B196" t="s">
        <v>38</v>
      </c>
      <c r="C196" t="s">
        <v>21</v>
      </c>
      <c r="D196">
        <v>27</v>
      </c>
      <c r="E196" t="s">
        <v>15</v>
      </c>
      <c r="F196" t="s">
        <v>80</v>
      </c>
      <c r="G196">
        <v>65696</v>
      </c>
      <c r="H196">
        <v>6</v>
      </c>
      <c r="I196" s="1">
        <v>45834</v>
      </c>
      <c r="J196">
        <v>4</v>
      </c>
      <c r="K196" t="s">
        <v>17</v>
      </c>
      <c r="L196" t="s">
        <v>50</v>
      </c>
      <c r="M196" t="str">
        <f>IF(Table3[[#This Row],[Age]]&lt;30,"Young",IF(Table3[[#This Row],[Age]]&lt;=40,"Mid","Senior"))</f>
        <v>Young</v>
      </c>
      <c r="N196" t="str">
        <f>IF(Table3[[#This Row],[Experience]]&lt;3,"Junior",IF(Table3[[#This Row],[Experience]]&lt;=7,"Mid","Senior"))</f>
        <v>Mid</v>
      </c>
      <c r="O196">
        <f>YEAR(Table3[[#This Row],[Joining_Date]])</f>
        <v>2025</v>
      </c>
      <c r="P196" t="str">
        <f>IF(AND(Table3[[#This Row],[Performance]]&lt;=2,Table3[[#This Row],[Attrition]]="No"),"High Risk","Stable")</f>
        <v>Stable</v>
      </c>
    </row>
    <row r="197" spans="1:16" x14ac:dyDescent="0.25">
      <c r="A197" t="s">
        <v>258</v>
      </c>
      <c r="B197" t="s">
        <v>78</v>
      </c>
      <c r="C197" t="s">
        <v>14</v>
      </c>
      <c r="D197">
        <v>24</v>
      </c>
      <c r="E197" t="s">
        <v>24</v>
      </c>
      <c r="F197" t="s">
        <v>124</v>
      </c>
      <c r="G197">
        <v>53267</v>
      </c>
      <c r="H197">
        <v>3</v>
      </c>
      <c r="I197" s="1">
        <v>45030</v>
      </c>
      <c r="J197">
        <v>1</v>
      </c>
      <c r="K197" t="s">
        <v>17</v>
      </c>
      <c r="L197" t="s">
        <v>50</v>
      </c>
      <c r="M197" t="str">
        <f>IF(Table3[[#This Row],[Age]]&lt;30,"Young",IF(Table3[[#This Row],[Age]]&lt;=40,"Mid","Senior"))</f>
        <v>Young</v>
      </c>
      <c r="N197" t="str">
        <f>IF(Table3[[#This Row],[Experience]]&lt;3,"Junior",IF(Table3[[#This Row],[Experience]]&lt;=7,"Mid","Senior"))</f>
        <v>Mid</v>
      </c>
      <c r="O197">
        <f>YEAR(Table3[[#This Row],[Joining_Date]])</f>
        <v>2023</v>
      </c>
      <c r="P197" t="str">
        <f>IF(AND(Table3[[#This Row],[Performance]]&lt;=2,Table3[[#This Row],[Attrition]]="No"),"High Risk","Stable")</f>
        <v>High Risk</v>
      </c>
    </row>
    <row r="198" spans="1:16" x14ac:dyDescent="0.25">
      <c r="A198" t="s">
        <v>259</v>
      </c>
      <c r="B198" t="s">
        <v>91</v>
      </c>
      <c r="C198" t="s">
        <v>14</v>
      </c>
      <c r="D198">
        <v>45</v>
      </c>
      <c r="E198" t="s">
        <v>15</v>
      </c>
      <c r="F198" t="s">
        <v>71</v>
      </c>
      <c r="G198">
        <v>63113</v>
      </c>
      <c r="H198">
        <v>9</v>
      </c>
      <c r="I198" s="1">
        <v>42042</v>
      </c>
      <c r="J198">
        <v>3</v>
      </c>
      <c r="K198" t="s">
        <v>17</v>
      </c>
      <c r="L198" t="s">
        <v>31</v>
      </c>
      <c r="M198" t="str">
        <f>IF(Table3[[#This Row],[Age]]&lt;30,"Young",IF(Table3[[#This Row],[Age]]&lt;=40,"Mid","Senior"))</f>
        <v>Senior</v>
      </c>
      <c r="N198" t="str">
        <f>IF(Table3[[#This Row],[Experience]]&lt;3,"Junior",IF(Table3[[#This Row],[Experience]]&lt;=7,"Mid","Senior"))</f>
        <v>Senior</v>
      </c>
      <c r="O198">
        <f>YEAR(Table3[[#This Row],[Joining_Date]])</f>
        <v>2015</v>
      </c>
      <c r="P198" t="str">
        <f>IF(AND(Table3[[#This Row],[Performance]]&lt;=2,Table3[[#This Row],[Attrition]]="No"),"High Risk","Stable")</f>
        <v>Stable</v>
      </c>
    </row>
    <row r="199" spans="1:16" x14ac:dyDescent="0.25">
      <c r="A199" t="s">
        <v>260</v>
      </c>
      <c r="B199" t="s">
        <v>38</v>
      </c>
      <c r="C199" t="s">
        <v>14</v>
      </c>
      <c r="D199">
        <v>38</v>
      </c>
      <c r="E199" t="s">
        <v>24</v>
      </c>
      <c r="F199" t="s">
        <v>124</v>
      </c>
      <c r="G199">
        <v>76698</v>
      </c>
      <c r="H199">
        <v>15</v>
      </c>
      <c r="I199" s="1">
        <v>45490</v>
      </c>
      <c r="J199">
        <v>5</v>
      </c>
      <c r="K199" t="s">
        <v>17</v>
      </c>
      <c r="L199" t="s">
        <v>50</v>
      </c>
      <c r="M199" t="str">
        <f>IF(Table3[[#This Row],[Age]]&lt;30,"Young",IF(Table3[[#This Row],[Age]]&lt;=40,"Mid","Senior"))</f>
        <v>Mid</v>
      </c>
      <c r="N199" t="str">
        <f>IF(Table3[[#This Row],[Experience]]&lt;3,"Junior",IF(Table3[[#This Row],[Experience]]&lt;=7,"Mid","Senior"))</f>
        <v>Senior</v>
      </c>
      <c r="O199">
        <f>YEAR(Table3[[#This Row],[Joining_Date]])</f>
        <v>2024</v>
      </c>
      <c r="P199" t="str">
        <f>IF(AND(Table3[[#This Row],[Performance]]&lt;=2,Table3[[#This Row],[Attrition]]="No"),"High Risk","Stable")</f>
        <v>Stable</v>
      </c>
    </row>
    <row r="200" spans="1:16" x14ac:dyDescent="0.25">
      <c r="A200" t="s">
        <v>261</v>
      </c>
      <c r="B200" t="s">
        <v>101</v>
      </c>
      <c r="C200" t="s">
        <v>21</v>
      </c>
      <c r="D200">
        <v>42</v>
      </c>
      <c r="E200" t="s">
        <v>15</v>
      </c>
      <c r="F200" t="s">
        <v>28</v>
      </c>
      <c r="G200">
        <v>71773</v>
      </c>
      <c r="H200">
        <v>8</v>
      </c>
      <c r="I200" s="1">
        <v>42767</v>
      </c>
      <c r="J200">
        <v>1</v>
      </c>
      <c r="K200" t="s">
        <v>17</v>
      </c>
      <c r="L200" t="s">
        <v>43</v>
      </c>
      <c r="M200" t="str">
        <f>IF(Table3[[#This Row],[Age]]&lt;30,"Young",IF(Table3[[#This Row],[Age]]&lt;=40,"Mid","Senior"))</f>
        <v>Senior</v>
      </c>
      <c r="N200" t="str">
        <f>IF(Table3[[#This Row],[Experience]]&lt;3,"Junior",IF(Table3[[#This Row],[Experience]]&lt;=7,"Mid","Senior"))</f>
        <v>Senior</v>
      </c>
      <c r="O200">
        <f>YEAR(Table3[[#This Row],[Joining_Date]])</f>
        <v>2017</v>
      </c>
      <c r="P200" t="str">
        <f>IF(AND(Table3[[#This Row],[Performance]]&lt;=2,Table3[[#This Row],[Attrition]]="No"),"High Risk","Stable")</f>
        <v>High Risk</v>
      </c>
    </row>
    <row r="201" spans="1:16" x14ac:dyDescent="0.25">
      <c r="A201" t="s">
        <v>262</v>
      </c>
      <c r="B201" t="s">
        <v>23</v>
      </c>
      <c r="C201" t="s">
        <v>14</v>
      </c>
      <c r="D201">
        <v>38</v>
      </c>
      <c r="E201" t="s">
        <v>34</v>
      </c>
      <c r="F201" t="s">
        <v>74</v>
      </c>
      <c r="G201">
        <v>59421</v>
      </c>
      <c r="H201">
        <v>10</v>
      </c>
      <c r="I201" s="1">
        <v>43646</v>
      </c>
      <c r="J201">
        <v>1</v>
      </c>
      <c r="K201" t="s">
        <v>42</v>
      </c>
      <c r="L201" t="s">
        <v>50</v>
      </c>
      <c r="M201" t="str">
        <f>IF(Table3[[#This Row],[Age]]&lt;30,"Young",IF(Table3[[#This Row],[Age]]&lt;=40,"Mid","Senior"))</f>
        <v>Mid</v>
      </c>
      <c r="N201" t="str">
        <f>IF(Table3[[#This Row],[Experience]]&lt;3,"Junior",IF(Table3[[#This Row],[Experience]]&lt;=7,"Mid","Senior"))</f>
        <v>Senior</v>
      </c>
      <c r="O201">
        <f>YEAR(Table3[[#This Row],[Joining_Date]])</f>
        <v>2019</v>
      </c>
      <c r="P201" t="str">
        <f>IF(AND(Table3[[#This Row],[Performance]]&lt;=2,Table3[[#This Row],[Attrition]]="No"),"High Risk","Stable")</f>
        <v>Stable</v>
      </c>
    </row>
    <row r="202" spans="1:16" x14ac:dyDescent="0.25">
      <c r="A202" t="s">
        <v>263</v>
      </c>
      <c r="B202" t="s">
        <v>126</v>
      </c>
      <c r="C202" t="s">
        <v>21</v>
      </c>
      <c r="D202">
        <v>30</v>
      </c>
      <c r="E202" t="s">
        <v>67</v>
      </c>
      <c r="F202" t="s">
        <v>76</v>
      </c>
      <c r="G202">
        <v>61358</v>
      </c>
      <c r="H202">
        <v>9</v>
      </c>
      <c r="I202" s="1">
        <v>43834</v>
      </c>
      <c r="J202">
        <v>3</v>
      </c>
      <c r="K202" t="s">
        <v>17</v>
      </c>
      <c r="L202" t="s">
        <v>36</v>
      </c>
      <c r="M202" t="str">
        <f>IF(Table3[[#This Row],[Age]]&lt;30,"Young",IF(Table3[[#This Row],[Age]]&lt;=40,"Mid","Senior"))</f>
        <v>Mid</v>
      </c>
      <c r="N202" t="str">
        <f>IF(Table3[[#This Row],[Experience]]&lt;3,"Junior",IF(Table3[[#This Row],[Experience]]&lt;=7,"Mid","Senior"))</f>
        <v>Senior</v>
      </c>
      <c r="O202">
        <f>YEAR(Table3[[#This Row],[Joining_Date]])</f>
        <v>2020</v>
      </c>
      <c r="P202" t="str">
        <f>IF(AND(Table3[[#This Row],[Performance]]&lt;=2,Table3[[#This Row],[Attrition]]="No"),"High Risk","Stable")</f>
        <v>Stable</v>
      </c>
    </row>
    <row r="203" spans="1:16" x14ac:dyDescent="0.25">
      <c r="A203" t="s">
        <v>264</v>
      </c>
      <c r="B203" t="s">
        <v>13</v>
      </c>
      <c r="C203" t="s">
        <v>14</v>
      </c>
      <c r="D203">
        <v>23</v>
      </c>
      <c r="E203" t="s">
        <v>15</v>
      </c>
      <c r="F203" t="s">
        <v>28</v>
      </c>
      <c r="G203">
        <v>52625</v>
      </c>
      <c r="H203">
        <v>2</v>
      </c>
      <c r="I203" s="1">
        <v>43261</v>
      </c>
      <c r="J203">
        <v>2</v>
      </c>
      <c r="K203" t="s">
        <v>42</v>
      </c>
      <c r="L203" t="s">
        <v>43</v>
      </c>
      <c r="M203" t="str">
        <f>IF(Table3[[#This Row],[Age]]&lt;30,"Young",IF(Table3[[#This Row],[Age]]&lt;=40,"Mid","Senior"))</f>
        <v>Young</v>
      </c>
      <c r="N203" t="str">
        <f>IF(Table3[[#This Row],[Experience]]&lt;3,"Junior",IF(Table3[[#This Row],[Experience]]&lt;=7,"Mid","Senior"))</f>
        <v>Junior</v>
      </c>
      <c r="O203">
        <f>YEAR(Table3[[#This Row],[Joining_Date]])</f>
        <v>2018</v>
      </c>
      <c r="P203" t="str">
        <f>IF(AND(Table3[[#This Row],[Performance]]&lt;=2,Table3[[#This Row],[Attrition]]="No"),"High Risk","Stable")</f>
        <v>Stable</v>
      </c>
    </row>
    <row r="204" spans="1:16" x14ac:dyDescent="0.25">
      <c r="A204" t="s">
        <v>265</v>
      </c>
      <c r="B204" t="s">
        <v>48</v>
      </c>
      <c r="C204" t="s">
        <v>14</v>
      </c>
      <c r="D204">
        <v>41</v>
      </c>
      <c r="E204" t="s">
        <v>24</v>
      </c>
      <c r="F204" t="s">
        <v>25</v>
      </c>
      <c r="G204">
        <v>58090</v>
      </c>
      <c r="H204">
        <v>7</v>
      </c>
      <c r="I204" s="1">
        <v>45926</v>
      </c>
      <c r="J204">
        <v>2</v>
      </c>
      <c r="K204" t="s">
        <v>17</v>
      </c>
      <c r="L204" t="s">
        <v>43</v>
      </c>
      <c r="M204" t="str">
        <f>IF(Table3[[#This Row],[Age]]&lt;30,"Young",IF(Table3[[#This Row],[Age]]&lt;=40,"Mid","Senior"))</f>
        <v>Senior</v>
      </c>
      <c r="N204" t="str">
        <f>IF(Table3[[#This Row],[Experience]]&lt;3,"Junior",IF(Table3[[#This Row],[Experience]]&lt;=7,"Mid","Senior"))</f>
        <v>Mid</v>
      </c>
      <c r="O204">
        <f>YEAR(Table3[[#This Row],[Joining_Date]])</f>
        <v>2025</v>
      </c>
      <c r="P204" t="str">
        <f>IF(AND(Table3[[#This Row],[Performance]]&lt;=2,Table3[[#This Row],[Attrition]]="No"),"High Risk","Stable")</f>
        <v>High Risk</v>
      </c>
    </row>
    <row r="205" spans="1:16" x14ac:dyDescent="0.25">
      <c r="A205" t="s">
        <v>266</v>
      </c>
      <c r="B205" t="s">
        <v>38</v>
      </c>
      <c r="C205" t="s">
        <v>14</v>
      </c>
      <c r="D205">
        <v>43</v>
      </c>
      <c r="E205" t="s">
        <v>24</v>
      </c>
      <c r="F205" t="s">
        <v>49</v>
      </c>
      <c r="G205">
        <v>64482</v>
      </c>
      <c r="H205">
        <v>6</v>
      </c>
      <c r="I205" s="1">
        <v>43018</v>
      </c>
      <c r="J205">
        <v>5</v>
      </c>
      <c r="K205" t="s">
        <v>17</v>
      </c>
      <c r="L205" t="s">
        <v>31</v>
      </c>
      <c r="M205" t="str">
        <f>IF(Table3[[#This Row],[Age]]&lt;30,"Young",IF(Table3[[#This Row],[Age]]&lt;=40,"Mid","Senior"))</f>
        <v>Senior</v>
      </c>
      <c r="N205" t="str">
        <f>IF(Table3[[#This Row],[Experience]]&lt;3,"Junior",IF(Table3[[#This Row],[Experience]]&lt;=7,"Mid","Senior"))</f>
        <v>Mid</v>
      </c>
      <c r="O205">
        <f>YEAR(Table3[[#This Row],[Joining_Date]])</f>
        <v>2017</v>
      </c>
      <c r="P205" t="str">
        <f>IF(AND(Table3[[#This Row],[Performance]]&lt;=2,Table3[[#This Row],[Attrition]]="No"),"High Risk","Stable")</f>
        <v>Stable</v>
      </c>
    </row>
    <row r="206" spans="1:16" x14ac:dyDescent="0.25">
      <c r="A206" t="s">
        <v>267</v>
      </c>
      <c r="B206" t="s">
        <v>66</v>
      </c>
      <c r="C206" t="s">
        <v>21</v>
      </c>
      <c r="D206">
        <v>25</v>
      </c>
      <c r="E206" t="s">
        <v>67</v>
      </c>
      <c r="F206" t="s">
        <v>76</v>
      </c>
      <c r="G206">
        <v>46472</v>
      </c>
      <c r="H206">
        <v>1</v>
      </c>
      <c r="I206" s="1">
        <v>45703</v>
      </c>
      <c r="J206">
        <v>5</v>
      </c>
      <c r="K206" t="s">
        <v>17</v>
      </c>
      <c r="L206" t="s">
        <v>43</v>
      </c>
      <c r="M206" t="str">
        <f>IF(Table3[[#This Row],[Age]]&lt;30,"Young",IF(Table3[[#This Row],[Age]]&lt;=40,"Mid","Senior"))</f>
        <v>Young</v>
      </c>
      <c r="N206" t="str">
        <f>IF(Table3[[#This Row],[Experience]]&lt;3,"Junior",IF(Table3[[#This Row],[Experience]]&lt;=7,"Mid","Senior"))</f>
        <v>Junior</v>
      </c>
      <c r="O206">
        <f>YEAR(Table3[[#This Row],[Joining_Date]])</f>
        <v>2025</v>
      </c>
      <c r="P206" t="str">
        <f>IF(AND(Table3[[#This Row],[Performance]]&lt;=2,Table3[[#This Row],[Attrition]]="No"),"High Risk","Stable")</f>
        <v>Stable</v>
      </c>
    </row>
    <row r="207" spans="1:16" x14ac:dyDescent="0.25">
      <c r="A207" t="s">
        <v>268</v>
      </c>
      <c r="B207" t="s">
        <v>199</v>
      </c>
      <c r="C207" t="s">
        <v>14</v>
      </c>
      <c r="D207">
        <v>36</v>
      </c>
      <c r="E207" t="s">
        <v>34</v>
      </c>
      <c r="F207" t="s">
        <v>74</v>
      </c>
      <c r="G207">
        <v>51645</v>
      </c>
      <c r="H207">
        <v>3</v>
      </c>
      <c r="I207" s="1">
        <v>42846</v>
      </c>
      <c r="J207">
        <v>5</v>
      </c>
      <c r="K207" t="s">
        <v>17</v>
      </c>
      <c r="L207" t="s">
        <v>43</v>
      </c>
      <c r="M207" t="str">
        <f>IF(Table3[[#This Row],[Age]]&lt;30,"Young",IF(Table3[[#This Row],[Age]]&lt;=40,"Mid","Senior"))</f>
        <v>Mid</v>
      </c>
      <c r="N207" t="str">
        <f>IF(Table3[[#This Row],[Experience]]&lt;3,"Junior",IF(Table3[[#This Row],[Experience]]&lt;=7,"Mid","Senior"))</f>
        <v>Mid</v>
      </c>
      <c r="O207">
        <f>YEAR(Table3[[#This Row],[Joining_Date]])</f>
        <v>2017</v>
      </c>
      <c r="P207" t="str">
        <f>IF(AND(Table3[[#This Row],[Performance]]&lt;=2,Table3[[#This Row],[Attrition]]="No"),"High Risk","Stable")</f>
        <v>Stable</v>
      </c>
    </row>
    <row r="208" spans="1:16" x14ac:dyDescent="0.25">
      <c r="A208" t="s">
        <v>269</v>
      </c>
      <c r="B208" t="s">
        <v>88</v>
      </c>
      <c r="C208" t="s">
        <v>14</v>
      </c>
      <c r="D208">
        <v>38</v>
      </c>
      <c r="E208" t="s">
        <v>67</v>
      </c>
      <c r="F208" t="s">
        <v>97</v>
      </c>
      <c r="G208">
        <v>74984</v>
      </c>
      <c r="H208">
        <v>13</v>
      </c>
      <c r="I208" s="1">
        <v>44314</v>
      </c>
      <c r="J208">
        <v>1</v>
      </c>
      <c r="K208" t="s">
        <v>17</v>
      </c>
      <c r="L208" t="s">
        <v>36</v>
      </c>
      <c r="M208" t="str">
        <f>IF(Table3[[#This Row],[Age]]&lt;30,"Young",IF(Table3[[#This Row],[Age]]&lt;=40,"Mid","Senior"))</f>
        <v>Mid</v>
      </c>
      <c r="N208" t="str">
        <f>IF(Table3[[#This Row],[Experience]]&lt;3,"Junior",IF(Table3[[#This Row],[Experience]]&lt;=7,"Mid","Senior"))</f>
        <v>Senior</v>
      </c>
      <c r="O208">
        <f>YEAR(Table3[[#This Row],[Joining_Date]])</f>
        <v>2021</v>
      </c>
      <c r="P208" t="str">
        <f>IF(AND(Table3[[#This Row],[Performance]]&lt;=2,Table3[[#This Row],[Attrition]]="No"),"High Risk","Stable")</f>
        <v>High Risk</v>
      </c>
    </row>
    <row r="209" spans="1:16" x14ac:dyDescent="0.25">
      <c r="A209" t="s">
        <v>270</v>
      </c>
      <c r="B209" t="s">
        <v>126</v>
      </c>
      <c r="C209" t="s">
        <v>14</v>
      </c>
      <c r="D209">
        <v>45</v>
      </c>
      <c r="E209" t="s">
        <v>15</v>
      </c>
      <c r="F209" t="s">
        <v>71</v>
      </c>
      <c r="G209">
        <v>64475</v>
      </c>
      <c r="H209">
        <v>6</v>
      </c>
      <c r="I209" s="1">
        <v>42304</v>
      </c>
      <c r="J209">
        <v>1</v>
      </c>
      <c r="K209" t="s">
        <v>42</v>
      </c>
      <c r="L209" t="s">
        <v>39</v>
      </c>
      <c r="M209" t="str">
        <f>IF(Table3[[#This Row],[Age]]&lt;30,"Young",IF(Table3[[#This Row],[Age]]&lt;=40,"Mid","Senior"))</f>
        <v>Senior</v>
      </c>
      <c r="N209" t="str">
        <f>IF(Table3[[#This Row],[Experience]]&lt;3,"Junior",IF(Table3[[#This Row],[Experience]]&lt;=7,"Mid","Senior"))</f>
        <v>Mid</v>
      </c>
      <c r="O209">
        <f>YEAR(Table3[[#This Row],[Joining_Date]])</f>
        <v>2015</v>
      </c>
      <c r="P209" t="str">
        <f>IF(AND(Table3[[#This Row],[Performance]]&lt;=2,Table3[[#This Row],[Attrition]]="No"),"High Risk","Stable")</f>
        <v>Stable</v>
      </c>
    </row>
    <row r="210" spans="1:16" x14ac:dyDescent="0.25">
      <c r="A210" t="s">
        <v>271</v>
      </c>
      <c r="B210" t="s">
        <v>60</v>
      </c>
      <c r="C210" t="s">
        <v>21</v>
      </c>
      <c r="D210">
        <v>37</v>
      </c>
      <c r="E210" t="s">
        <v>15</v>
      </c>
      <c r="F210" t="s">
        <v>30</v>
      </c>
      <c r="G210">
        <v>47203</v>
      </c>
      <c r="H210">
        <v>1</v>
      </c>
      <c r="I210" s="1">
        <v>43679</v>
      </c>
      <c r="J210">
        <v>2</v>
      </c>
      <c r="K210" t="s">
        <v>17</v>
      </c>
      <c r="L210" t="s">
        <v>39</v>
      </c>
      <c r="M210" t="str">
        <f>IF(Table3[[#This Row],[Age]]&lt;30,"Young",IF(Table3[[#This Row],[Age]]&lt;=40,"Mid","Senior"))</f>
        <v>Mid</v>
      </c>
      <c r="N210" t="str">
        <f>IF(Table3[[#This Row],[Experience]]&lt;3,"Junior",IF(Table3[[#This Row],[Experience]]&lt;=7,"Mid","Senior"))</f>
        <v>Junior</v>
      </c>
      <c r="O210">
        <f>YEAR(Table3[[#This Row],[Joining_Date]])</f>
        <v>2019</v>
      </c>
      <c r="P210" t="str">
        <f>IF(AND(Table3[[#This Row],[Performance]]&lt;=2,Table3[[#This Row],[Attrition]]="No"),"High Risk","Stable")</f>
        <v>High Risk</v>
      </c>
    </row>
    <row r="211" spans="1:16" x14ac:dyDescent="0.25">
      <c r="A211" t="s">
        <v>272</v>
      </c>
      <c r="B211" t="s">
        <v>101</v>
      </c>
      <c r="C211" t="s">
        <v>14</v>
      </c>
      <c r="D211">
        <v>34</v>
      </c>
      <c r="E211" t="s">
        <v>67</v>
      </c>
      <c r="F211" t="s">
        <v>76</v>
      </c>
      <c r="G211">
        <v>66314</v>
      </c>
      <c r="H211">
        <v>12</v>
      </c>
      <c r="I211" s="1">
        <v>44801</v>
      </c>
      <c r="J211">
        <v>5</v>
      </c>
      <c r="K211" t="s">
        <v>17</v>
      </c>
      <c r="L211" t="s">
        <v>36</v>
      </c>
      <c r="M211" t="str">
        <f>IF(Table3[[#This Row],[Age]]&lt;30,"Young",IF(Table3[[#This Row],[Age]]&lt;=40,"Mid","Senior"))</f>
        <v>Mid</v>
      </c>
      <c r="N211" t="str">
        <f>IF(Table3[[#This Row],[Experience]]&lt;3,"Junior",IF(Table3[[#This Row],[Experience]]&lt;=7,"Mid","Senior"))</f>
        <v>Senior</v>
      </c>
      <c r="O211">
        <f>YEAR(Table3[[#This Row],[Joining_Date]])</f>
        <v>2022</v>
      </c>
      <c r="P211" t="str">
        <f>IF(AND(Table3[[#This Row],[Performance]]&lt;=2,Table3[[#This Row],[Attrition]]="No"),"High Risk","Stable")</f>
        <v>Stable</v>
      </c>
    </row>
    <row r="212" spans="1:16" x14ac:dyDescent="0.25">
      <c r="A212" t="s">
        <v>273</v>
      </c>
      <c r="B212" t="s">
        <v>199</v>
      </c>
      <c r="C212" t="s">
        <v>14</v>
      </c>
      <c r="D212">
        <v>26</v>
      </c>
      <c r="E212" t="s">
        <v>15</v>
      </c>
      <c r="F212" t="s">
        <v>80</v>
      </c>
      <c r="G212">
        <v>52556</v>
      </c>
      <c r="H212">
        <v>5</v>
      </c>
      <c r="I212" s="1">
        <v>45102</v>
      </c>
      <c r="J212">
        <v>1</v>
      </c>
      <c r="K212" t="s">
        <v>17</v>
      </c>
      <c r="L212" t="s">
        <v>39</v>
      </c>
      <c r="M212" t="str">
        <f>IF(Table3[[#This Row],[Age]]&lt;30,"Young",IF(Table3[[#This Row],[Age]]&lt;=40,"Mid","Senior"))</f>
        <v>Young</v>
      </c>
      <c r="N212" t="str">
        <f>IF(Table3[[#This Row],[Experience]]&lt;3,"Junior",IF(Table3[[#This Row],[Experience]]&lt;=7,"Mid","Senior"))</f>
        <v>Mid</v>
      </c>
      <c r="O212">
        <f>YEAR(Table3[[#This Row],[Joining_Date]])</f>
        <v>2023</v>
      </c>
      <c r="P212" t="str">
        <f>IF(AND(Table3[[#This Row],[Performance]]&lt;=2,Table3[[#This Row],[Attrition]]="No"),"High Risk","Stable")</f>
        <v>High Risk</v>
      </c>
    </row>
    <row r="213" spans="1:16" x14ac:dyDescent="0.25">
      <c r="A213" t="s">
        <v>274</v>
      </c>
      <c r="B213" t="s">
        <v>13</v>
      </c>
      <c r="C213" t="s">
        <v>21</v>
      </c>
      <c r="D213">
        <v>36</v>
      </c>
      <c r="E213" t="s">
        <v>67</v>
      </c>
      <c r="F213" t="s">
        <v>110</v>
      </c>
      <c r="G213">
        <v>65041</v>
      </c>
      <c r="H213">
        <v>11</v>
      </c>
      <c r="I213" s="1">
        <v>43134</v>
      </c>
      <c r="J213">
        <v>2</v>
      </c>
      <c r="K213" t="s">
        <v>17</v>
      </c>
      <c r="L213" t="s">
        <v>31</v>
      </c>
      <c r="M213" t="str">
        <f>IF(Table3[[#This Row],[Age]]&lt;30,"Young",IF(Table3[[#This Row],[Age]]&lt;=40,"Mid","Senior"))</f>
        <v>Mid</v>
      </c>
      <c r="N213" t="str">
        <f>IF(Table3[[#This Row],[Experience]]&lt;3,"Junior",IF(Table3[[#This Row],[Experience]]&lt;=7,"Mid","Senior"))</f>
        <v>Senior</v>
      </c>
      <c r="O213">
        <f>YEAR(Table3[[#This Row],[Joining_Date]])</f>
        <v>2018</v>
      </c>
      <c r="P213" t="str">
        <f>IF(AND(Table3[[#This Row],[Performance]]&lt;=2,Table3[[#This Row],[Attrition]]="No"),"High Risk","Stable")</f>
        <v>High Risk</v>
      </c>
    </row>
    <row r="214" spans="1:16" x14ac:dyDescent="0.25">
      <c r="A214" t="s">
        <v>275</v>
      </c>
      <c r="B214" t="s">
        <v>13</v>
      </c>
      <c r="C214" t="s">
        <v>21</v>
      </c>
      <c r="D214">
        <v>28</v>
      </c>
      <c r="E214" t="s">
        <v>15</v>
      </c>
      <c r="F214" t="s">
        <v>71</v>
      </c>
      <c r="G214">
        <v>46653</v>
      </c>
      <c r="H214">
        <v>2</v>
      </c>
      <c r="I214" s="1">
        <v>44437</v>
      </c>
      <c r="J214">
        <v>1</v>
      </c>
      <c r="K214" t="s">
        <v>42</v>
      </c>
      <c r="L214" t="s">
        <v>39</v>
      </c>
      <c r="M214" t="str">
        <f>IF(Table3[[#This Row],[Age]]&lt;30,"Young",IF(Table3[[#This Row],[Age]]&lt;=40,"Mid","Senior"))</f>
        <v>Young</v>
      </c>
      <c r="N214" t="str">
        <f>IF(Table3[[#This Row],[Experience]]&lt;3,"Junior",IF(Table3[[#This Row],[Experience]]&lt;=7,"Mid","Senior"))</f>
        <v>Junior</v>
      </c>
      <c r="O214">
        <f>YEAR(Table3[[#This Row],[Joining_Date]])</f>
        <v>2021</v>
      </c>
      <c r="P214" t="str">
        <f>IF(AND(Table3[[#This Row],[Performance]]&lt;=2,Table3[[#This Row],[Attrition]]="No"),"High Risk","Stable")</f>
        <v>Stable</v>
      </c>
    </row>
    <row r="215" spans="1:16" x14ac:dyDescent="0.25">
      <c r="A215" t="s">
        <v>276</v>
      </c>
      <c r="B215" t="s">
        <v>45</v>
      </c>
      <c r="C215" t="s">
        <v>21</v>
      </c>
      <c r="D215">
        <v>36</v>
      </c>
      <c r="E215" t="s">
        <v>15</v>
      </c>
      <c r="F215" t="s">
        <v>80</v>
      </c>
      <c r="G215">
        <v>66343</v>
      </c>
      <c r="H215">
        <v>7</v>
      </c>
      <c r="I215" s="1">
        <v>42894</v>
      </c>
      <c r="J215">
        <v>1</v>
      </c>
      <c r="K215" t="s">
        <v>42</v>
      </c>
      <c r="L215" t="s">
        <v>36</v>
      </c>
      <c r="M215" t="str">
        <f>IF(Table3[[#This Row],[Age]]&lt;30,"Young",IF(Table3[[#This Row],[Age]]&lt;=40,"Mid","Senior"))</f>
        <v>Mid</v>
      </c>
      <c r="N215" t="str">
        <f>IF(Table3[[#This Row],[Experience]]&lt;3,"Junior",IF(Table3[[#This Row],[Experience]]&lt;=7,"Mid","Senior"))</f>
        <v>Mid</v>
      </c>
      <c r="O215">
        <f>YEAR(Table3[[#This Row],[Joining_Date]])</f>
        <v>2017</v>
      </c>
      <c r="P215" t="str">
        <f>IF(AND(Table3[[#This Row],[Performance]]&lt;=2,Table3[[#This Row],[Attrition]]="No"),"High Risk","Stable")</f>
        <v>Stable</v>
      </c>
    </row>
    <row r="216" spans="1:16" x14ac:dyDescent="0.25">
      <c r="A216" t="s">
        <v>277</v>
      </c>
      <c r="B216" t="s">
        <v>13</v>
      </c>
      <c r="C216" t="s">
        <v>14</v>
      </c>
      <c r="D216">
        <v>31</v>
      </c>
      <c r="E216" t="s">
        <v>34</v>
      </c>
      <c r="F216" t="s">
        <v>41</v>
      </c>
      <c r="G216">
        <v>53816</v>
      </c>
      <c r="H216">
        <v>4</v>
      </c>
      <c r="I216" s="1">
        <v>44140</v>
      </c>
      <c r="J216">
        <v>2</v>
      </c>
      <c r="K216" t="s">
        <v>42</v>
      </c>
      <c r="L216" t="s">
        <v>36</v>
      </c>
      <c r="M216" t="str">
        <f>IF(Table3[[#This Row],[Age]]&lt;30,"Young",IF(Table3[[#This Row],[Age]]&lt;=40,"Mid","Senior"))</f>
        <v>Mid</v>
      </c>
      <c r="N216" t="str">
        <f>IF(Table3[[#This Row],[Experience]]&lt;3,"Junior",IF(Table3[[#This Row],[Experience]]&lt;=7,"Mid","Senior"))</f>
        <v>Mid</v>
      </c>
      <c r="O216">
        <f>YEAR(Table3[[#This Row],[Joining_Date]])</f>
        <v>2020</v>
      </c>
      <c r="P216" t="str">
        <f>IF(AND(Table3[[#This Row],[Performance]]&lt;=2,Table3[[#This Row],[Attrition]]="No"),"High Risk","Stable")</f>
        <v>Stable</v>
      </c>
    </row>
    <row r="217" spans="1:16" x14ac:dyDescent="0.25">
      <c r="A217" t="s">
        <v>278</v>
      </c>
      <c r="B217" t="s">
        <v>23</v>
      </c>
      <c r="C217" t="s">
        <v>21</v>
      </c>
      <c r="D217">
        <v>39</v>
      </c>
      <c r="E217" t="s">
        <v>15</v>
      </c>
      <c r="F217" t="s">
        <v>30</v>
      </c>
      <c r="G217">
        <v>78268</v>
      </c>
      <c r="H217">
        <v>15</v>
      </c>
      <c r="I217" s="1">
        <v>45987</v>
      </c>
      <c r="J217">
        <v>3</v>
      </c>
      <c r="K217" t="s">
        <v>17</v>
      </c>
      <c r="L217" t="s">
        <v>39</v>
      </c>
      <c r="M217" t="str">
        <f>IF(Table3[[#This Row],[Age]]&lt;30,"Young",IF(Table3[[#This Row],[Age]]&lt;=40,"Mid","Senior"))</f>
        <v>Mid</v>
      </c>
      <c r="N217" t="str">
        <f>IF(Table3[[#This Row],[Experience]]&lt;3,"Junior",IF(Table3[[#This Row],[Experience]]&lt;=7,"Mid","Senior"))</f>
        <v>Senior</v>
      </c>
      <c r="O217">
        <f>YEAR(Table3[[#This Row],[Joining_Date]])</f>
        <v>2025</v>
      </c>
      <c r="P217" t="str">
        <f>IF(AND(Table3[[#This Row],[Performance]]&lt;=2,Table3[[#This Row],[Attrition]]="No"),"High Risk","Stable")</f>
        <v>Stable</v>
      </c>
    </row>
    <row r="218" spans="1:16" x14ac:dyDescent="0.25">
      <c r="A218" t="s">
        <v>279</v>
      </c>
      <c r="B218" t="s">
        <v>23</v>
      </c>
      <c r="C218" t="s">
        <v>14</v>
      </c>
      <c r="D218">
        <v>26</v>
      </c>
      <c r="E218" t="s">
        <v>67</v>
      </c>
      <c r="F218" t="s">
        <v>76</v>
      </c>
      <c r="G218">
        <v>53667</v>
      </c>
      <c r="H218">
        <v>5</v>
      </c>
      <c r="I218" s="1">
        <v>42758</v>
      </c>
      <c r="J218">
        <v>5</v>
      </c>
      <c r="K218" t="s">
        <v>17</v>
      </c>
      <c r="L218" t="s">
        <v>50</v>
      </c>
      <c r="M218" t="str">
        <f>IF(Table3[[#This Row],[Age]]&lt;30,"Young",IF(Table3[[#This Row],[Age]]&lt;=40,"Mid","Senior"))</f>
        <v>Young</v>
      </c>
      <c r="N218" t="str">
        <f>IF(Table3[[#This Row],[Experience]]&lt;3,"Junior",IF(Table3[[#This Row],[Experience]]&lt;=7,"Mid","Senior"))</f>
        <v>Mid</v>
      </c>
      <c r="O218">
        <f>YEAR(Table3[[#This Row],[Joining_Date]])</f>
        <v>2017</v>
      </c>
      <c r="P218" t="str">
        <f>IF(AND(Table3[[#This Row],[Performance]]&lt;=2,Table3[[#This Row],[Attrition]]="No"),"High Risk","Stable")</f>
        <v>Stable</v>
      </c>
    </row>
    <row r="219" spans="1:16" x14ac:dyDescent="0.25">
      <c r="A219" t="s">
        <v>280</v>
      </c>
      <c r="B219" t="s">
        <v>78</v>
      </c>
      <c r="C219" t="s">
        <v>14</v>
      </c>
      <c r="D219">
        <v>39</v>
      </c>
      <c r="E219" t="s">
        <v>24</v>
      </c>
      <c r="F219" t="s">
        <v>46</v>
      </c>
      <c r="G219">
        <v>76324</v>
      </c>
      <c r="H219">
        <v>13</v>
      </c>
      <c r="I219" s="1">
        <v>44287</v>
      </c>
      <c r="J219">
        <v>5</v>
      </c>
      <c r="K219" t="s">
        <v>17</v>
      </c>
      <c r="L219" t="s">
        <v>50</v>
      </c>
      <c r="M219" t="str">
        <f>IF(Table3[[#This Row],[Age]]&lt;30,"Young",IF(Table3[[#This Row],[Age]]&lt;=40,"Mid","Senior"))</f>
        <v>Mid</v>
      </c>
      <c r="N219" t="str">
        <f>IF(Table3[[#This Row],[Experience]]&lt;3,"Junior",IF(Table3[[#This Row],[Experience]]&lt;=7,"Mid","Senior"))</f>
        <v>Senior</v>
      </c>
      <c r="O219">
        <f>YEAR(Table3[[#This Row],[Joining_Date]])</f>
        <v>2021</v>
      </c>
      <c r="P219" t="str">
        <f>IF(AND(Table3[[#This Row],[Performance]]&lt;=2,Table3[[#This Row],[Attrition]]="No"),"High Risk","Stable")</f>
        <v>Stable</v>
      </c>
    </row>
    <row r="220" spans="1:16" x14ac:dyDescent="0.25">
      <c r="A220" t="s">
        <v>281</v>
      </c>
      <c r="B220" t="s">
        <v>60</v>
      </c>
      <c r="C220" t="s">
        <v>14</v>
      </c>
      <c r="D220">
        <v>36</v>
      </c>
      <c r="E220" t="s">
        <v>24</v>
      </c>
      <c r="F220" t="s">
        <v>46</v>
      </c>
      <c r="G220">
        <v>66014</v>
      </c>
      <c r="H220">
        <v>11</v>
      </c>
      <c r="I220" s="1">
        <v>44198</v>
      </c>
      <c r="J220">
        <v>2</v>
      </c>
      <c r="K220" t="s">
        <v>42</v>
      </c>
      <c r="L220" t="s">
        <v>18</v>
      </c>
      <c r="M220" t="str">
        <f>IF(Table3[[#This Row],[Age]]&lt;30,"Young",IF(Table3[[#This Row],[Age]]&lt;=40,"Mid","Senior"))</f>
        <v>Mid</v>
      </c>
      <c r="N220" t="str">
        <f>IF(Table3[[#This Row],[Experience]]&lt;3,"Junior",IF(Table3[[#This Row],[Experience]]&lt;=7,"Mid","Senior"))</f>
        <v>Senior</v>
      </c>
      <c r="O220">
        <f>YEAR(Table3[[#This Row],[Joining_Date]])</f>
        <v>2021</v>
      </c>
      <c r="P220" t="str">
        <f>IF(AND(Table3[[#This Row],[Performance]]&lt;=2,Table3[[#This Row],[Attrition]]="No"),"High Risk","Stable")</f>
        <v>Stable</v>
      </c>
    </row>
    <row r="221" spans="1:16" x14ac:dyDescent="0.25">
      <c r="A221" t="s">
        <v>282</v>
      </c>
      <c r="B221" t="s">
        <v>66</v>
      </c>
      <c r="C221" t="s">
        <v>21</v>
      </c>
      <c r="D221">
        <v>45</v>
      </c>
      <c r="E221" t="s">
        <v>15</v>
      </c>
      <c r="F221" t="s">
        <v>16</v>
      </c>
      <c r="G221">
        <v>62854</v>
      </c>
      <c r="H221">
        <v>6</v>
      </c>
      <c r="I221" s="1">
        <v>42860</v>
      </c>
      <c r="J221">
        <v>3</v>
      </c>
      <c r="K221" t="s">
        <v>17</v>
      </c>
      <c r="L221" t="s">
        <v>31</v>
      </c>
      <c r="M221" t="str">
        <f>IF(Table3[[#This Row],[Age]]&lt;30,"Young",IF(Table3[[#This Row],[Age]]&lt;=40,"Mid","Senior"))</f>
        <v>Senior</v>
      </c>
      <c r="N221" t="str">
        <f>IF(Table3[[#This Row],[Experience]]&lt;3,"Junior",IF(Table3[[#This Row],[Experience]]&lt;=7,"Mid","Senior"))</f>
        <v>Mid</v>
      </c>
      <c r="O221">
        <f>YEAR(Table3[[#This Row],[Joining_Date]])</f>
        <v>2017</v>
      </c>
      <c r="P221" t="str">
        <f>IF(AND(Table3[[#This Row],[Performance]]&lt;=2,Table3[[#This Row],[Attrition]]="No"),"High Risk","Stable")</f>
        <v>Stable</v>
      </c>
    </row>
    <row r="222" spans="1:16" x14ac:dyDescent="0.25">
      <c r="A222" t="s">
        <v>283</v>
      </c>
      <c r="B222" t="s">
        <v>58</v>
      </c>
      <c r="C222" t="s">
        <v>21</v>
      </c>
      <c r="D222">
        <v>29</v>
      </c>
      <c r="E222" t="s">
        <v>34</v>
      </c>
      <c r="F222" t="s">
        <v>74</v>
      </c>
      <c r="G222">
        <v>54498</v>
      </c>
      <c r="H222">
        <v>6</v>
      </c>
      <c r="I222" s="1">
        <v>45753</v>
      </c>
      <c r="J222">
        <v>2</v>
      </c>
      <c r="K222" t="s">
        <v>17</v>
      </c>
      <c r="L222" t="s">
        <v>18</v>
      </c>
      <c r="M222" t="str">
        <f>IF(Table3[[#This Row],[Age]]&lt;30,"Young",IF(Table3[[#This Row],[Age]]&lt;=40,"Mid","Senior"))</f>
        <v>Young</v>
      </c>
      <c r="N222" t="str">
        <f>IF(Table3[[#This Row],[Experience]]&lt;3,"Junior",IF(Table3[[#This Row],[Experience]]&lt;=7,"Mid","Senior"))</f>
        <v>Mid</v>
      </c>
      <c r="O222">
        <f>YEAR(Table3[[#This Row],[Joining_Date]])</f>
        <v>2025</v>
      </c>
      <c r="P222" t="str">
        <f>IF(AND(Table3[[#This Row],[Performance]]&lt;=2,Table3[[#This Row],[Attrition]]="No"),"High Risk","Stable")</f>
        <v>High Risk</v>
      </c>
    </row>
    <row r="223" spans="1:16" x14ac:dyDescent="0.25">
      <c r="A223" t="s">
        <v>284</v>
      </c>
      <c r="B223" t="s">
        <v>33</v>
      </c>
      <c r="C223" t="s">
        <v>14</v>
      </c>
      <c r="D223">
        <v>33</v>
      </c>
      <c r="E223" t="s">
        <v>67</v>
      </c>
      <c r="F223" t="s">
        <v>76</v>
      </c>
      <c r="G223">
        <v>72635</v>
      </c>
      <c r="H223">
        <v>12</v>
      </c>
      <c r="I223" s="1">
        <v>42408</v>
      </c>
      <c r="J223">
        <v>4</v>
      </c>
      <c r="K223" t="s">
        <v>17</v>
      </c>
      <c r="L223" t="s">
        <v>36</v>
      </c>
      <c r="M223" t="str">
        <f>IF(Table3[[#This Row],[Age]]&lt;30,"Young",IF(Table3[[#This Row],[Age]]&lt;=40,"Mid","Senior"))</f>
        <v>Mid</v>
      </c>
      <c r="N223" t="str">
        <f>IF(Table3[[#This Row],[Experience]]&lt;3,"Junior",IF(Table3[[#This Row],[Experience]]&lt;=7,"Mid","Senior"))</f>
        <v>Senior</v>
      </c>
      <c r="O223">
        <f>YEAR(Table3[[#This Row],[Joining_Date]])</f>
        <v>2016</v>
      </c>
      <c r="P223" t="str">
        <f>IF(AND(Table3[[#This Row],[Performance]]&lt;=2,Table3[[#This Row],[Attrition]]="No"),"High Risk","Stable")</f>
        <v>Stable</v>
      </c>
    </row>
    <row r="224" spans="1:16" x14ac:dyDescent="0.25">
      <c r="A224" t="s">
        <v>285</v>
      </c>
      <c r="B224" t="s">
        <v>23</v>
      </c>
      <c r="C224" t="s">
        <v>14</v>
      </c>
      <c r="D224">
        <v>23</v>
      </c>
      <c r="E224" t="s">
        <v>34</v>
      </c>
      <c r="F224" t="s">
        <v>41</v>
      </c>
      <c r="G224">
        <v>50144</v>
      </c>
      <c r="H224">
        <v>2</v>
      </c>
      <c r="I224" s="1">
        <v>42602</v>
      </c>
      <c r="J224">
        <v>1</v>
      </c>
      <c r="K224" t="s">
        <v>42</v>
      </c>
      <c r="L224" t="s">
        <v>43</v>
      </c>
      <c r="M224" t="str">
        <f>IF(Table3[[#This Row],[Age]]&lt;30,"Young",IF(Table3[[#This Row],[Age]]&lt;=40,"Mid","Senior"))</f>
        <v>Young</v>
      </c>
      <c r="N224" t="str">
        <f>IF(Table3[[#This Row],[Experience]]&lt;3,"Junior",IF(Table3[[#This Row],[Experience]]&lt;=7,"Mid","Senior"))</f>
        <v>Junior</v>
      </c>
      <c r="O224">
        <f>YEAR(Table3[[#This Row],[Joining_Date]])</f>
        <v>2016</v>
      </c>
      <c r="P224" t="str">
        <f>IF(AND(Table3[[#This Row],[Performance]]&lt;=2,Table3[[#This Row],[Attrition]]="No"),"High Risk","Stable")</f>
        <v>Stable</v>
      </c>
    </row>
    <row r="225" spans="1:16" x14ac:dyDescent="0.25">
      <c r="A225" t="s">
        <v>286</v>
      </c>
      <c r="B225" t="s">
        <v>20</v>
      </c>
      <c r="C225" t="s">
        <v>21</v>
      </c>
      <c r="D225">
        <v>32</v>
      </c>
      <c r="E225" t="s">
        <v>67</v>
      </c>
      <c r="F225" t="s">
        <v>76</v>
      </c>
      <c r="G225">
        <v>58723</v>
      </c>
      <c r="H225">
        <v>7</v>
      </c>
      <c r="I225" s="1">
        <v>44338</v>
      </c>
      <c r="J225">
        <v>2</v>
      </c>
      <c r="K225" t="s">
        <v>17</v>
      </c>
      <c r="L225" t="s">
        <v>39</v>
      </c>
      <c r="M225" t="str">
        <f>IF(Table3[[#This Row],[Age]]&lt;30,"Young",IF(Table3[[#This Row],[Age]]&lt;=40,"Mid","Senior"))</f>
        <v>Mid</v>
      </c>
      <c r="N225" t="str">
        <f>IF(Table3[[#This Row],[Experience]]&lt;3,"Junior",IF(Table3[[#This Row],[Experience]]&lt;=7,"Mid","Senior"))</f>
        <v>Mid</v>
      </c>
      <c r="O225">
        <f>YEAR(Table3[[#This Row],[Joining_Date]])</f>
        <v>2021</v>
      </c>
      <c r="P225" t="str">
        <f>IF(AND(Table3[[#This Row],[Performance]]&lt;=2,Table3[[#This Row],[Attrition]]="No"),"High Risk","Stable")</f>
        <v>High Risk</v>
      </c>
    </row>
    <row r="226" spans="1:16" x14ac:dyDescent="0.25">
      <c r="A226" t="s">
        <v>287</v>
      </c>
      <c r="B226" t="s">
        <v>58</v>
      </c>
      <c r="C226" t="s">
        <v>14</v>
      </c>
      <c r="D226">
        <v>36</v>
      </c>
      <c r="E226" t="s">
        <v>24</v>
      </c>
      <c r="F226" t="s">
        <v>124</v>
      </c>
      <c r="G226">
        <v>61505</v>
      </c>
      <c r="H226">
        <v>5</v>
      </c>
      <c r="I226" s="1">
        <v>45261</v>
      </c>
      <c r="J226">
        <v>3</v>
      </c>
      <c r="K226" t="s">
        <v>17</v>
      </c>
      <c r="L226" t="s">
        <v>39</v>
      </c>
      <c r="M226" t="str">
        <f>IF(Table3[[#This Row],[Age]]&lt;30,"Young",IF(Table3[[#This Row],[Age]]&lt;=40,"Mid","Senior"))</f>
        <v>Mid</v>
      </c>
      <c r="N226" t="str">
        <f>IF(Table3[[#This Row],[Experience]]&lt;3,"Junior",IF(Table3[[#This Row],[Experience]]&lt;=7,"Mid","Senior"))</f>
        <v>Mid</v>
      </c>
      <c r="O226">
        <f>YEAR(Table3[[#This Row],[Joining_Date]])</f>
        <v>2023</v>
      </c>
      <c r="P226" t="str">
        <f>IF(AND(Table3[[#This Row],[Performance]]&lt;=2,Table3[[#This Row],[Attrition]]="No"),"High Risk","Stable")</f>
        <v>Stable</v>
      </c>
    </row>
    <row r="227" spans="1:16" x14ac:dyDescent="0.25">
      <c r="A227" t="s">
        <v>288</v>
      </c>
      <c r="B227" t="s">
        <v>199</v>
      </c>
      <c r="C227" t="s">
        <v>21</v>
      </c>
      <c r="D227">
        <v>23</v>
      </c>
      <c r="E227" t="s">
        <v>67</v>
      </c>
      <c r="F227" t="s">
        <v>68</v>
      </c>
      <c r="G227">
        <v>50948</v>
      </c>
      <c r="H227">
        <v>2</v>
      </c>
      <c r="I227" s="1">
        <v>42203</v>
      </c>
      <c r="J227">
        <v>1</v>
      </c>
      <c r="K227" t="s">
        <v>42</v>
      </c>
      <c r="L227" t="s">
        <v>39</v>
      </c>
      <c r="M227" t="str">
        <f>IF(Table3[[#This Row],[Age]]&lt;30,"Young",IF(Table3[[#This Row],[Age]]&lt;=40,"Mid","Senior"))</f>
        <v>Young</v>
      </c>
      <c r="N227" t="str">
        <f>IF(Table3[[#This Row],[Experience]]&lt;3,"Junior",IF(Table3[[#This Row],[Experience]]&lt;=7,"Mid","Senior"))</f>
        <v>Junior</v>
      </c>
      <c r="O227">
        <f>YEAR(Table3[[#This Row],[Joining_Date]])</f>
        <v>2015</v>
      </c>
      <c r="P227" t="str">
        <f>IF(AND(Table3[[#This Row],[Performance]]&lt;=2,Table3[[#This Row],[Attrition]]="No"),"High Risk","Stable")</f>
        <v>Stable</v>
      </c>
    </row>
    <row r="228" spans="1:16" x14ac:dyDescent="0.25">
      <c r="A228" t="s">
        <v>289</v>
      </c>
      <c r="B228" t="s">
        <v>126</v>
      </c>
      <c r="C228" t="s">
        <v>21</v>
      </c>
      <c r="D228">
        <v>28</v>
      </c>
      <c r="E228" t="s">
        <v>34</v>
      </c>
      <c r="F228" t="s">
        <v>35</v>
      </c>
      <c r="G228">
        <v>56614</v>
      </c>
      <c r="H228">
        <v>7</v>
      </c>
      <c r="I228" s="1">
        <v>42252</v>
      </c>
      <c r="J228">
        <v>5</v>
      </c>
      <c r="K228" t="s">
        <v>17</v>
      </c>
      <c r="L228" t="s">
        <v>43</v>
      </c>
      <c r="M228" t="str">
        <f>IF(Table3[[#This Row],[Age]]&lt;30,"Young",IF(Table3[[#This Row],[Age]]&lt;=40,"Mid","Senior"))</f>
        <v>Young</v>
      </c>
      <c r="N228" t="str">
        <f>IF(Table3[[#This Row],[Experience]]&lt;3,"Junior",IF(Table3[[#This Row],[Experience]]&lt;=7,"Mid","Senior"))</f>
        <v>Mid</v>
      </c>
      <c r="O228">
        <f>YEAR(Table3[[#This Row],[Joining_Date]])</f>
        <v>2015</v>
      </c>
      <c r="P228" t="str">
        <f>IF(AND(Table3[[#This Row],[Performance]]&lt;=2,Table3[[#This Row],[Attrition]]="No"),"High Risk","Stable")</f>
        <v>Stable</v>
      </c>
    </row>
    <row r="229" spans="1:16" x14ac:dyDescent="0.25">
      <c r="A229" t="s">
        <v>290</v>
      </c>
      <c r="B229" t="s">
        <v>126</v>
      </c>
      <c r="C229" t="s">
        <v>21</v>
      </c>
      <c r="D229">
        <v>39</v>
      </c>
      <c r="E229" t="s">
        <v>67</v>
      </c>
      <c r="F229" t="s">
        <v>110</v>
      </c>
      <c r="G229">
        <v>67694</v>
      </c>
      <c r="H229">
        <v>13</v>
      </c>
      <c r="I229" s="1">
        <v>42073</v>
      </c>
      <c r="J229">
        <v>5</v>
      </c>
      <c r="K229" t="s">
        <v>17</v>
      </c>
      <c r="L229" t="s">
        <v>43</v>
      </c>
      <c r="M229" t="str">
        <f>IF(Table3[[#This Row],[Age]]&lt;30,"Young",IF(Table3[[#This Row],[Age]]&lt;=40,"Mid","Senior"))</f>
        <v>Mid</v>
      </c>
      <c r="N229" t="str">
        <f>IF(Table3[[#This Row],[Experience]]&lt;3,"Junior",IF(Table3[[#This Row],[Experience]]&lt;=7,"Mid","Senior"))</f>
        <v>Senior</v>
      </c>
      <c r="O229">
        <f>YEAR(Table3[[#This Row],[Joining_Date]])</f>
        <v>2015</v>
      </c>
      <c r="P229" t="str">
        <f>IF(AND(Table3[[#This Row],[Performance]]&lt;=2,Table3[[#This Row],[Attrition]]="No"),"High Risk","Stable")</f>
        <v>Stable</v>
      </c>
    </row>
    <row r="230" spans="1:16" x14ac:dyDescent="0.25">
      <c r="A230" t="s">
        <v>291</v>
      </c>
      <c r="B230" t="s">
        <v>91</v>
      </c>
      <c r="C230" t="s">
        <v>14</v>
      </c>
      <c r="D230">
        <v>25</v>
      </c>
      <c r="E230" t="s">
        <v>24</v>
      </c>
      <c r="F230" t="s">
        <v>25</v>
      </c>
      <c r="G230">
        <v>53091</v>
      </c>
      <c r="H230">
        <v>3</v>
      </c>
      <c r="I230" s="1">
        <v>42614</v>
      </c>
      <c r="J230">
        <v>2</v>
      </c>
      <c r="K230" t="s">
        <v>42</v>
      </c>
      <c r="L230" t="s">
        <v>43</v>
      </c>
      <c r="M230" t="str">
        <f>IF(Table3[[#This Row],[Age]]&lt;30,"Young",IF(Table3[[#This Row],[Age]]&lt;=40,"Mid","Senior"))</f>
        <v>Young</v>
      </c>
      <c r="N230" t="str">
        <f>IF(Table3[[#This Row],[Experience]]&lt;3,"Junior",IF(Table3[[#This Row],[Experience]]&lt;=7,"Mid","Senior"))</f>
        <v>Mid</v>
      </c>
      <c r="O230">
        <f>YEAR(Table3[[#This Row],[Joining_Date]])</f>
        <v>2016</v>
      </c>
      <c r="P230" t="str">
        <f>IF(AND(Table3[[#This Row],[Performance]]&lt;=2,Table3[[#This Row],[Attrition]]="No"),"High Risk","Stable")</f>
        <v>Stable</v>
      </c>
    </row>
    <row r="231" spans="1:16" x14ac:dyDescent="0.25">
      <c r="A231" t="s">
        <v>292</v>
      </c>
      <c r="B231" t="s">
        <v>45</v>
      </c>
      <c r="C231" t="s">
        <v>14</v>
      </c>
      <c r="D231">
        <v>24</v>
      </c>
      <c r="E231" t="s">
        <v>24</v>
      </c>
      <c r="F231" t="s">
        <v>124</v>
      </c>
      <c r="G231">
        <v>51152</v>
      </c>
      <c r="H231">
        <v>3</v>
      </c>
      <c r="I231" s="1">
        <v>43885</v>
      </c>
      <c r="J231">
        <v>5</v>
      </c>
      <c r="K231" t="s">
        <v>17</v>
      </c>
      <c r="L231" t="s">
        <v>39</v>
      </c>
      <c r="M231" t="str">
        <f>IF(Table3[[#This Row],[Age]]&lt;30,"Young",IF(Table3[[#This Row],[Age]]&lt;=40,"Mid","Senior"))</f>
        <v>Young</v>
      </c>
      <c r="N231" t="str">
        <f>IF(Table3[[#This Row],[Experience]]&lt;3,"Junior",IF(Table3[[#This Row],[Experience]]&lt;=7,"Mid","Senior"))</f>
        <v>Mid</v>
      </c>
      <c r="O231">
        <f>YEAR(Table3[[#This Row],[Joining_Date]])</f>
        <v>2020</v>
      </c>
      <c r="P231" t="str">
        <f>IF(AND(Table3[[#This Row],[Performance]]&lt;=2,Table3[[#This Row],[Attrition]]="No"),"High Risk","Stable")</f>
        <v>Stable</v>
      </c>
    </row>
    <row r="232" spans="1:16" x14ac:dyDescent="0.25">
      <c r="A232" t="s">
        <v>293</v>
      </c>
      <c r="B232" t="s">
        <v>78</v>
      </c>
      <c r="C232" t="s">
        <v>21</v>
      </c>
      <c r="D232">
        <v>24</v>
      </c>
      <c r="E232" t="s">
        <v>34</v>
      </c>
      <c r="F232" t="s">
        <v>41</v>
      </c>
      <c r="G232">
        <v>46713</v>
      </c>
      <c r="H232">
        <v>3</v>
      </c>
      <c r="I232" s="1">
        <v>43549</v>
      </c>
      <c r="J232">
        <v>5</v>
      </c>
      <c r="K232" t="s">
        <v>17</v>
      </c>
      <c r="L232" t="s">
        <v>39</v>
      </c>
      <c r="M232" t="str">
        <f>IF(Table3[[#This Row],[Age]]&lt;30,"Young",IF(Table3[[#This Row],[Age]]&lt;=40,"Mid","Senior"))</f>
        <v>Young</v>
      </c>
      <c r="N232" t="str">
        <f>IF(Table3[[#This Row],[Experience]]&lt;3,"Junior",IF(Table3[[#This Row],[Experience]]&lt;=7,"Mid","Senior"))</f>
        <v>Mid</v>
      </c>
      <c r="O232">
        <f>YEAR(Table3[[#This Row],[Joining_Date]])</f>
        <v>2019</v>
      </c>
      <c r="P232" t="str">
        <f>IF(AND(Table3[[#This Row],[Performance]]&lt;=2,Table3[[#This Row],[Attrition]]="No"),"High Risk","Stable")</f>
        <v>Stable</v>
      </c>
    </row>
    <row r="233" spans="1:16" x14ac:dyDescent="0.25">
      <c r="A233" t="s">
        <v>294</v>
      </c>
      <c r="B233" t="s">
        <v>58</v>
      </c>
      <c r="C233" t="s">
        <v>21</v>
      </c>
      <c r="D233">
        <v>35</v>
      </c>
      <c r="E233" t="s">
        <v>15</v>
      </c>
      <c r="F233" t="s">
        <v>80</v>
      </c>
      <c r="G233">
        <v>74270</v>
      </c>
      <c r="H233">
        <v>10</v>
      </c>
      <c r="I233" s="1">
        <v>45519</v>
      </c>
      <c r="J233">
        <v>1</v>
      </c>
      <c r="K233" t="s">
        <v>17</v>
      </c>
      <c r="L233" t="s">
        <v>50</v>
      </c>
      <c r="M233" t="str">
        <f>IF(Table3[[#This Row],[Age]]&lt;30,"Young",IF(Table3[[#This Row],[Age]]&lt;=40,"Mid","Senior"))</f>
        <v>Mid</v>
      </c>
      <c r="N233" t="str">
        <f>IF(Table3[[#This Row],[Experience]]&lt;3,"Junior",IF(Table3[[#This Row],[Experience]]&lt;=7,"Mid","Senior"))</f>
        <v>Senior</v>
      </c>
      <c r="O233">
        <f>YEAR(Table3[[#This Row],[Joining_Date]])</f>
        <v>2024</v>
      </c>
      <c r="P233" t="str">
        <f>IF(AND(Table3[[#This Row],[Performance]]&lt;=2,Table3[[#This Row],[Attrition]]="No"),"High Risk","Stable")</f>
        <v>High Risk</v>
      </c>
    </row>
    <row r="234" spans="1:16" x14ac:dyDescent="0.25">
      <c r="A234" t="s">
        <v>295</v>
      </c>
      <c r="B234" t="s">
        <v>78</v>
      </c>
      <c r="C234" t="s">
        <v>14</v>
      </c>
      <c r="D234">
        <v>24</v>
      </c>
      <c r="E234" t="s">
        <v>34</v>
      </c>
      <c r="F234" t="s">
        <v>52</v>
      </c>
      <c r="G234">
        <v>49397</v>
      </c>
      <c r="H234">
        <v>3</v>
      </c>
      <c r="I234" s="1">
        <v>44313</v>
      </c>
      <c r="J234">
        <v>1</v>
      </c>
      <c r="K234" t="s">
        <v>42</v>
      </c>
      <c r="L234" t="s">
        <v>36</v>
      </c>
      <c r="M234" t="str">
        <f>IF(Table3[[#This Row],[Age]]&lt;30,"Young",IF(Table3[[#This Row],[Age]]&lt;=40,"Mid","Senior"))</f>
        <v>Young</v>
      </c>
      <c r="N234" t="str">
        <f>IF(Table3[[#This Row],[Experience]]&lt;3,"Junior",IF(Table3[[#This Row],[Experience]]&lt;=7,"Mid","Senior"))</f>
        <v>Mid</v>
      </c>
      <c r="O234">
        <f>YEAR(Table3[[#This Row],[Joining_Date]])</f>
        <v>2021</v>
      </c>
      <c r="P234" t="str">
        <f>IF(AND(Table3[[#This Row],[Performance]]&lt;=2,Table3[[#This Row],[Attrition]]="No"),"High Risk","Stable")</f>
        <v>Stable</v>
      </c>
    </row>
    <row r="235" spans="1:16" x14ac:dyDescent="0.25">
      <c r="A235" t="s">
        <v>296</v>
      </c>
      <c r="B235" t="s">
        <v>45</v>
      </c>
      <c r="C235" t="s">
        <v>21</v>
      </c>
      <c r="D235">
        <v>24</v>
      </c>
      <c r="E235" t="s">
        <v>15</v>
      </c>
      <c r="F235" t="s">
        <v>80</v>
      </c>
      <c r="G235">
        <v>50161</v>
      </c>
      <c r="H235">
        <v>3</v>
      </c>
      <c r="I235" s="1">
        <v>44314</v>
      </c>
      <c r="J235">
        <v>2</v>
      </c>
      <c r="K235" t="s">
        <v>17</v>
      </c>
      <c r="L235" t="s">
        <v>39</v>
      </c>
      <c r="M235" t="str">
        <f>IF(Table3[[#This Row],[Age]]&lt;30,"Young",IF(Table3[[#This Row],[Age]]&lt;=40,"Mid","Senior"))</f>
        <v>Young</v>
      </c>
      <c r="N235" t="str">
        <f>IF(Table3[[#This Row],[Experience]]&lt;3,"Junior",IF(Table3[[#This Row],[Experience]]&lt;=7,"Mid","Senior"))</f>
        <v>Mid</v>
      </c>
      <c r="O235">
        <f>YEAR(Table3[[#This Row],[Joining_Date]])</f>
        <v>2021</v>
      </c>
      <c r="P235" t="str">
        <f>IF(AND(Table3[[#This Row],[Performance]]&lt;=2,Table3[[#This Row],[Attrition]]="No"),"High Risk","Stable")</f>
        <v>High Risk</v>
      </c>
    </row>
    <row r="236" spans="1:16" x14ac:dyDescent="0.25">
      <c r="A236" t="s">
        <v>297</v>
      </c>
      <c r="B236" t="s">
        <v>60</v>
      </c>
      <c r="C236" t="s">
        <v>21</v>
      </c>
      <c r="D236">
        <v>38</v>
      </c>
      <c r="E236" t="s">
        <v>24</v>
      </c>
      <c r="F236" t="s">
        <v>49</v>
      </c>
      <c r="G236">
        <v>65379</v>
      </c>
      <c r="H236">
        <v>11</v>
      </c>
      <c r="I236" s="1">
        <v>42405</v>
      </c>
      <c r="J236">
        <v>4</v>
      </c>
      <c r="K236" t="s">
        <v>17</v>
      </c>
      <c r="L236" t="s">
        <v>31</v>
      </c>
      <c r="M236" t="str">
        <f>IF(Table3[[#This Row],[Age]]&lt;30,"Young",IF(Table3[[#This Row],[Age]]&lt;=40,"Mid","Senior"))</f>
        <v>Mid</v>
      </c>
      <c r="N236" t="str">
        <f>IF(Table3[[#This Row],[Experience]]&lt;3,"Junior",IF(Table3[[#This Row],[Experience]]&lt;=7,"Mid","Senior"))</f>
        <v>Senior</v>
      </c>
      <c r="O236">
        <f>YEAR(Table3[[#This Row],[Joining_Date]])</f>
        <v>2016</v>
      </c>
      <c r="P236" t="str">
        <f>IF(AND(Table3[[#This Row],[Performance]]&lt;=2,Table3[[#This Row],[Attrition]]="No"),"High Risk","Stable")</f>
        <v>Stable</v>
      </c>
    </row>
    <row r="237" spans="1:16" x14ac:dyDescent="0.25">
      <c r="A237" t="s">
        <v>298</v>
      </c>
      <c r="B237" t="s">
        <v>126</v>
      </c>
      <c r="C237" t="s">
        <v>14</v>
      </c>
      <c r="D237">
        <v>42</v>
      </c>
      <c r="E237" t="s">
        <v>24</v>
      </c>
      <c r="F237" t="s">
        <v>49</v>
      </c>
      <c r="G237">
        <v>69837</v>
      </c>
      <c r="H237">
        <v>8</v>
      </c>
      <c r="I237" s="1">
        <v>43850</v>
      </c>
      <c r="J237">
        <v>4</v>
      </c>
      <c r="K237" t="s">
        <v>17</v>
      </c>
      <c r="L237" t="s">
        <v>43</v>
      </c>
      <c r="M237" t="str">
        <f>IF(Table3[[#This Row],[Age]]&lt;30,"Young",IF(Table3[[#This Row],[Age]]&lt;=40,"Mid","Senior"))</f>
        <v>Senior</v>
      </c>
      <c r="N237" t="str">
        <f>IF(Table3[[#This Row],[Experience]]&lt;3,"Junior",IF(Table3[[#This Row],[Experience]]&lt;=7,"Mid","Senior"))</f>
        <v>Senior</v>
      </c>
      <c r="O237">
        <f>YEAR(Table3[[#This Row],[Joining_Date]])</f>
        <v>2020</v>
      </c>
      <c r="P237" t="str">
        <f>IF(AND(Table3[[#This Row],[Performance]]&lt;=2,Table3[[#This Row],[Attrition]]="No"),"High Risk","Stable")</f>
        <v>Stable</v>
      </c>
    </row>
    <row r="238" spans="1:16" x14ac:dyDescent="0.25">
      <c r="A238" t="s">
        <v>299</v>
      </c>
      <c r="B238" t="s">
        <v>66</v>
      </c>
      <c r="C238" t="s">
        <v>21</v>
      </c>
      <c r="D238">
        <v>43</v>
      </c>
      <c r="E238" t="s">
        <v>67</v>
      </c>
      <c r="F238" t="s">
        <v>110</v>
      </c>
      <c r="G238">
        <v>66404</v>
      </c>
      <c r="H238">
        <v>12</v>
      </c>
      <c r="I238" s="1">
        <v>45167</v>
      </c>
      <c r="J238">
        <v>5</v>
      </c>
      <c r="K238" t="s">
        <v>17</v>
      </c>
      <c r="L238" t="s">
        <v>50</v>
      </c>
      <c r="M238" t="str">
        <f>IF(Table3[[#This Row],[Age]]&lt;30,"Young",IF(Table3[[#This Row],[Age]]&lt;=40,"Mid","Senior"))</f>
        <v>Senior</v>
      </c>
      <c r="N238" t="str">
        <f>IF(Table3[[#This Row],[Experience]]&lt;3,"Junior",IF(Table3[[#This Row],[Experience]]&lt;=7,"Mid","Senior"))</f>
        <v>Senior</v>
      </c>
      <c r="O238">
        <f>YEAR(Table3[[#This Row],[Joining_Date]])</f>
        <v>2023</v>
      </c>
      <c r="P238" t="str">
        <f>IF(AND(Table3[[#This Row],[Performance]]&lt;=2,Table3[[#This Row],[Attrition]]="No"),"High Risk","Stable")</f>
        <v>Stable</v>
      </c>
    </row>
    <row r="239" spans="1:16" x14ac:dyDescent="0.25">
      <c r="A239" t="s">
        <v>300</v>
      </c>
      <c r="B239" t="s">
        <v>88</v>
      </c>
      <c r="C239" t="s">
        <v>14</v>
      </c>
      <c r="D239">
        <v>34</v>
      </c>
      <c r="E239" t="s">
        <v>15</v>
      </c>
      <c r="F239" t="s">
        <v>16</v>
      </c>
      <c r="G239">
        <v>62118</v>
      </c>
      <c r="H239">
        <v>4</v>
      </c>
      <c r="I239" s="1">
        <v>43600</v>
      </c>
      <c r="J239">
        <v>3</v>
      </c>
      <c r="K239" t="s">
        <v>17</v>
      </c>
      <c r="L239" t="s">
        <v>31</v>
      </c>
      <c r="M239" t="str">
        <f>IF(Table3[[#This Row],[Age]]&lt;30,"Young",IF(Table3[[#This Row],[Age]]&lt;=40,"Mid","Senior"))</f>
        <v>Mid</v>
      </c>
      <c r="N239" t="str">
        <f>IF(Table3[[#This Row],[Experience]]&lt;3,"Junior",IF(Table3[[#This Row],[Experience]]&lt;=7,"Mid","Senior"))</f>
        <v>Mid</v>
      </c>
      <c r="O239">
        <f>YEAR(Table3[[#This Row],[Joining_Date]])</f>
        <v>2019</v>
      </c>
      <c r="P239" t="str">
        <f>IF(AND(Table3[[#This Row],[Performance]]&lt;=2,Table3[[#This Row],[Attrition]]="No"),"High Risk","Stable")</f>
        <v>Stable</v>
      </c>
    </row>
    <row r="240" spans="1:16" x14ac:dyDescent="0.25">
      <c r="A240" t="s">
        <v>301</v>
      </c>
      <c r="B240" t="s">
        <v>48</v>
      </c>
      <c r="C240" t="s">
        <v>14</v>
      </c>
      <c r="D240">
        <v>30</v>
      </c>
      <c r="E240" t="s">
        <v>15</v>
      </c>
      <c r="F240" t="s">
        <v>28</v>
      </c>
      <c r="G240">
        <v>49670</v>
      </c>
      <c r="H240">
        <v>3</v>
      </c>
      <c r="I240" s="1">
        <v>42362</v>
      </c>
      <c r="J240">
        <v>2</v>
      </c>
      <c r="K240" t="s">
        <v>42</v>
      </c>
      <c r="L240" t="s">
        <v>43</v>
      </c>
      <c r="M240" t="str">
        <f>IF(Table3[[#This Row],[Age]]&lt;30,"Young",IF(Table3[[#This Row],[Age]]&lt;=40,"Mid","Senior"))</f>
        <v>Mid</v>
      </c>
      <c r="N240" t="str">
        <f>IF(Table3[[#This Row],[Experience]]&lt;3,"Junior",IF(Table3[[#This Row],[Experience]]&lt;=7,"Mid","Senior"))</f>
        <v>Mid</v>
      </c>
      <c r="O240">
        <f>YEAR(Table3[[#This Row],[Joining_Date]])</f>
        <v>2015</v>
      </c>
      <c r="P240" t="str">
        <f>IF(AND(Table3[[#This Row],[Performance]]&lt;=2,Table3[[#This Row],[Attrition]]="No"),"High Risk","Stable")</f>
        <v>Stable</v>
      </c>
    </row>
    <row r="241" spans="1:16" x14ac:dyDescent="0.25">
      <c r="A241" t="s">
        <v>302</v>
      </c>
      <c r="B241" t="s">
        <v>60</v>
      </c>
      <c r="C241" t="s">
        <v>21</v>
      </c>
      <c r="D241">
        <v>33</v>
      </c>
      <c r="E241" t="s">
        <v>67</v>
      </c>
      <c r="F241" t="s">
        <v>97</v>
      </c>
      <c r="G241">
        <v>49780</v>
      </c>
      <c r="H241">
        <v>2</v>
      </c>
      <c r="I241" s="1">
        <v>44454</v>
      </c>
      <c r="J241">
        <v>3</v>
      </c>
      <c r="K241" t="s">
        <v>17</v>
      </c>
      <c r="L241" t="s">
        <v>31</v>
      </c>
      <c r="M241" t="str">
        <f>IF(Table3[[#This Row],[Age]]&lt;30,"Young",IF(Table3[[#This Row],[Age]]&lt;=40,"Mid","Senior"))</f>
        <v>Mid</v>
      </c>
      <c r="N241" t="str">
        <f>IF(Table3[[#This Row],[Experience]]&lt;3,"Junior",IF(Table3[[#This Row],[Experience]]&lt;=7,"Mid","Senior"))</f>
        <v>Junior</v>
      </c>
      <c r="O241">
        <f>YEAR(Table3[[#This Row],[Joining_Date]])</f>
        <v>2021</v>
      </c>
      <c r="P241" t="str">
        <f>IF(AND(Table3[[#This Row],[Performance]]&lt;=2,Table3[[#This Row],[Attrition]]="No"),"High Risk","Stable")</f>
        <v>Stable</v>
      </c>
    </row>
    <row r="242" spans="1:16" x14ac:dyDescent="0.25">
      <c r="A242" t="s">
        <v>303</v>
      </c>
      <c r="B242" t="s">
        <v>60</v>
      </c>
      <c r="C242" t="s">
        <v>14</v>
      </c>
      <c r="D242">
        <v>45</v>
      </c>
      <c r="E242" t="s">
        <v>24</v>
      </c>
      <c r="F242" t="s">
        <v>49</v>
      </c>
      <c r="G242">
        <v>63870</v>
      </c>
      <c r="H242">
        <v>7</v>
      </c>
      <c r="I242" s="1">
        <v>44139</v>
      </c>
      <c r="J242">
        <v>2</v>
      </c>
      <c r="K242" t="s">
        <v>17</v>
      </c>
      <c r="L242" t="s">
        <v>36</v>
      </c>
      <c r="M242" t="str">
        <f>IF(Table3[[#This Row],[Age]]&lt;30,"Young",IF(Table3[[#This Row],[Age]]&lt;=40,"Mid","Senior"))</f>
        <v>Senior</v>
      </c>
      <c r="N242" t="str">
        <f>IF(Table3[[#This Row],[Experience]]&lt;3,"Junior",IF(Table3[[#This Row],[Experience]]&lt;=7,"Mid","Senior"))</f>
        <v>Mid</v>
      </c>
      <c r="O242">
        <f>YEAR(Table3[[#This Row],[Joining_Date]])</f>
        <v>2020</v>
      </c>
      <c r="P242" t="str">
        <f>IF(AND(Table3[[#This Row],[Performance]]&lt;=2,Table3[[#This Row],[Attrition]]="No"),"High Risk","Stable")</f>
        <v>High Risk</v>
      </c>
    </row>
    <row r="243" spans="1:16" x14ac:dyDescent="0.25">
      <c r="A243" t="s">
        <v>304</v>
      </c>
      <c r="B243" t="s">
        <v>88</v>
      </c>
      <c r="C243" t="s">
        <v>14</v>
      </c>
      <c r="D243">
        <v>24</v>
      </c>
      <c r="E243" t="s">
        <v>24</v>
      </c>
      <c r="F243" t="s">
        <v>124</v>
      </c>
      <c r="G243">
        <v>51621</v>
      </c>
      <c r="H243">
        <v>3</v>
      </c>
      <c r="I243" s="1">
        <v>43135</v>
      </c>
      <c r="J243">
        <v>4</v>
      </c>
      <c r="K243" t="s">
        <v>17</v>
      </c>
      <c r="L243" t="s">
        <v>31</v>
      </c>
      <c r="M243" t="str">
        <f>IF(Table3[[#This Row],[Age]]&lt;30,"Young",IF(Table3[[#This Row],[Age]]&lt;=40,"Mid","Senior"))</f>
        <v>Young</v>
      </c>
      <c r="N243" t="str">
        <f>IF(Table3[[#This Row],[Experience]]&lt;3,"Junior",IF(Table3[[#This Row],[Experience]]&lt;=7,"Mid","Senior"))</f>
        <v>Mid</v>
      </c>
      <c r="O243">
        <f>YEAR(Table3[[#This Row],[Joining_Date]])</f>
        <v>2018</v>
      </c>
      <c r="P243" t="str">
        <f>IF(AND(Table3[[#This Row],[Performance]]&lt;=2,Table3[[#This Row],[Attrition]]="No"),"High Risk","Stable")</f>
        <v>Stable</v>
      </c>
    </row>
    <row r="244" spans="1:16" x14ac:dyDescent="0.25">
      <c r="A244" t="s">
        <v>305</v>
      </c>
      <c r="B244" t="s">
        <v>58</v>
      </c>
      <c r="C244" t="s">
        <v>21</v>
      </c>
      <c r="D244">
        <v>41</v>
      </c>
      <c r="E244" t="s">
        <v>24</v>
      </c>
      <c r="F244" t="s">
        <v>124</v>
      </c>
      <c r="G244">
        <v>59501</v>
      </c>
      <c r="H244">
        <v>6</v>
      </c>
      <c r="I244" s="1">
        <v>42443</v>
      </c>
      <c r="J244">
        <v>2</v>
      </c>
      <c r="K244" t="s">
        <v>42</v>
      </c>
      <c r="L244" t="s">
        <v>18</v>
      </c>
      <c r="M244" t="str">
        <f>IF(Table3[[#This Row],[Age]]&lt;30,"Young",IF(Table3[[#This Row],[Age]]&lt;=40,"Mid","Senior"))</f>
        <v>Senior</v>
      </c>
      <c r="N244" t="str">
        <f>IF(Table3[[#This Row],[Experience]]&lt;3,"Junior",IF(Table3[[#This Row],[Experience]]&lt;=7,"Mid","Senior"))</f>
        <v>Mid</v>
      </c>
      <c r="O244">
        <f>YEAR(Table3[[#This Row],[Joining_Date]])</f>
        <v>2016</v>
      </c>
      <c r="P244" t="str">
        <f>IF(AND(Table3[[#This Row],[Performance]]&lt;=2,Table3[[#This Row],[Attrition]]="No"),"High Risk","Stable")</f>
        <v>Stable</v>
      </c>
    </row>
    <row r="245" spans="1:16" x14ac:dyDescent="0.25">
      <c r="A245" t="s">
        <v>306</v>
      </c>
      <c r="B245" t="s">
        <v>101</v>
      </c>
      <c r="C245" t="s">
        <v>14</v>
      </c>
      <c r="D245">
        <v>32</v>
      </c>
      <c r="E245" t="s">
        <v>24</v>
      </c>
      <c r="F245" t="s">
        <v>49</v>
      </c>
      <c r="G245">
        <v>75166</v>
      </c>
      <c r="H245">
        <v>11</v>
      </c>
      <c r="I245" s="1">
        <v>45995</v>
      </c>
      <c r="J245">
        <v>5</v>
      </c>
      <c r="K245" t="s">
        <v>17</v>
      </c>
      <c r="L245" t="s">
        <v>36</v>
      </c>
      <c r="M245" t="str">
        <f>IF(Table3[[#This Row],[Age]]&lt;30,"Young",IF(Table3[[#This Row],[Age]]&lt;=40,"Mid","Senior"))</f>
        <v>Mid</v>
      </c>
      <c r="N245" t="str">
        <f>IF(Table3[[#This Row],[Experience]]&lt;3,"Junior",IF(Table3[[#This Row],[Experience]]&lt;=7,"Mid","Senior"))</f>
        <v>Senior</v>
      </c>
      <c r="O245">
        <f>YEAR(Table3[[#This Row],[Joining_Date]])</f>
        <v>2025</v>
      </c>
      <c r="P245" t="str">
        <f>IF(AND(Table3[[#This Row],[Performance]]&lt;=2,Table3[[#This Row],[Attrition]]="No"),"High Risk","Stable")</f>
        <v>Stable</v>
      </c>
    </row>
    <row r="246" spans="1:16" x14ac:dyDescent="0.25">
      <c r="A246" t="s">
        <v>307</v>
      </c>
      <c r="B246" t="s">
        <v>91</v>
      </c>
      <c r="C246" t="s">
        <v>14</v>
      </c>
      <c r="D246">
        <v>34</v>
      </c>
      <c r="E246" t="s">
        <v>34</v>
      </c>
      <c r="F246" t="s">
        <v>52</v>
      </c>
      <c r="G246">
        <v>62775</v>
      </c>
      <c r="H246">
        <v>10</v>
      </c>
      <c r="I246" s="1">
        <v>45015</v>
      </c>
      <c r="J246">
        <v>4</v>
      </c>
      <c r="K246" t="s">
        <v>17</v>
      </c>
      <c r="L246" t="s">
        <v>50</v>
      </c>
      <c r="M246" t="str">
        <f>IF(Table3[[#This Row],[Age]]&lt;30,"Young",IF(Table3[[#This Row],[Age]]&lt;=40,"Mid","Senior"))</f>
        <v>Mid</v>
      </c>
      <c r="N246" t="str">
        <f>IF(Table3[[#This Row],[Experience]]&lt;3,"Junior",IF(Table3[[#This Row],[Experience]]&lt;=7,"Mid","Senior"))</f>
        <v>Senior</v>
      </c>
      <c r="O246">
        <f>YEAR(Table3[[#This Row],[Joining_Date]])</f>
        <v>2023</v>
      </c>
      <c r="P246" t="str">
        <f>IF(AND(Table3[[#This Row],[Performance]]&lt;=2,Table3[[#This Row],[Attrition]]="No"),"High Risk","Stable")</f>
        <v>Stable</v>
      </c>
    </row>
    <row r="247" spans="1:16" x14ac:dyDescent="0.25">
      <c r="A247" t="s">
        <v>308</v>
      </c>
      <c r="B247" t="s">
        <v>45</v>
      </c>
      <c r="C247" t="s">
        <v>14</v>
      </c>
      <c r="D247">
        <v>33</v>
      </c>
      <c r="E247" t="s">
        <v>24</v>
      </c>
      <c r="F247" t="s">
        <v>49</v>
      </c>
      <c r="G247">
        <v>53738</v>
      </c>
      <c r="H247">
        <v>3</v>
      </c>
      <c r="I247" s="1">
        <v>42823</v>
      </c>
      <c r="J247">
        <v>5</v>
      </c>
      <c r="K247" t="s">
        <v>17</v>
      </c>
      <c r="L247" t="s">
        <v>50</v>
      </c>
      <c r="M247" t="str">
        <f>IF(Table3[[#This Row],[Age]]&lt;30,"Young",IF(Table3[[#This Row],[Age]]&lt;=40,"Mid","Senior"))</f>
        <v>Mid</v>
      </c>
      <c r="N247" t="str">
        <f>IF(Table3[[#This Row],[Experience]]&lt;3,"Junior",IF(Table3[[#This Row],[Experience]]&lt;=7,"Mid","Senior"))</f>
        <v>Mid</v>
      </c>
      <c r="O247">
        <f>YEAR(Table3[[#This Row],[Joining_Date]])</f>
        <v>2017</v>
      </c>
      <c r="P247" t="str">
        <f>IF(AND(Table3[[#This Row],[Performance]]&lt;=2,Table3[[#This Row],[Attrition]]="No"),"High Risk","Stable")</f>
        <v>Stable</v>
      </c>
    </row>
    <row r="248" spans="1:16" x14ac:dyDescent="0.25">
      <c r="A248" t="s">
        <v>309</v>
      </c>
      <c r="B248" t="s">
        <v>101</v>
      </c>
      <c r="C248" t="s">
        <v>21</v>
      </c>
      <c r="D248">
        <v>31</v>
      </c>
      <c r="E248" t="s">
        <v>15</v>
      </c>
      <c r="F248" t="s">
        <v>71</v>
      </c>
      <c r="G248">
        <v>51703</v>
      </c>
      <c r="H248">
        <v>2</v>
      </c>
      <c r="I248" s="1">
        <v>44761</v>
      </c>
      <c r="J248">
        <v>4</v>
      </c>
      <c r="K248" t="s">
        <v>17</v>
      </c>
      <c r="L248" t="s">
        <v>36</v>
      </c>
      <c r="M248" t="str">
        <f>IF(Table3[[#This Row],[Age]]&lt;30,"Young",IF(Table3[[#This Row],[Age]]&lt;=40,"Mid","Senior"))</f>
        <v>Mid</v>
      </c>
      <c r="N248" t="str">
        <f>IF(Table3[[#This Row],[Experience]]&lt;3,"Junior",IF(Table3[[#This Row],[Experience]]&lt;=7,"Mid","Senior"))</f>
        <v>Junior</v>
      </c>
      <c r="O248">
        <f>YEAR(Table3[[#This Row],[Joining_Date]])</f>
        <v>2022</v>
      </c>
      <c r="P248" t="str">
        <f>IF(AND(Table3[[#This Row],[Performance]]&lt;=2,Table3[[#This Row],[Attrition]]="No"),"High Risk","Stable")</f>
        <v>Stable</v>
      </c>
    </row>
    <row r="249" spans="1:16" x14ac:dyDescent="0.25">
      <c r="A249" t="s">
        <v>310</v>
      </c>
      <c r="B249" t="s">
        <v>23</v>
      </c>
      <c r="C249" t="s">
        <v>21</v>
      </c>
      <c r="D249">
        <v>34</v>
      </c>
      <c r="E249" t="s">
        <v>34</v>
      </c>
      <c r="F249" t="s">
        <v>41</v>
      </c>
      <c r="G249">
        <v>45357</v>
      </c>
      <c r="H249">
        <v>2</v>
      </c>
      <c r="I249" s="1">
        <v>44454</v>
      </c>
      <c r="J249">
        <v>4</v>
      </c>
      <c r="K249" t="s">
        <v>17</v>
      </c>
      <c r="L249" t="s">
        <v>43</v>
      </c>
      <c r="M249" t="str">
        <f>IF(Table3[[#This Row],[Age]]&lt;30,"Young",IF(Table3[[#This Row],[Age]]&lt;=40,"Mid","Senior"))</f>
        <v>Mid</v>
      </c>
      <c r="N249" t="str">
        <f>IF(Table3[[#This Row],[Experience]]&lt;3,"Junior",IF(Table3[[#This Row],[Experience]]&lt;=7,"Mid","Senior"))</f>
        <v>Junior</v>
      </c>
      <c r="O249">
        <f>YEAR(Table3[[#This Row],[Joining_Date]])</f>
        <v>2021</v>
      </c>
      <c r="P249" t="str">
        <f>IF(AND(Table3[[#This Row],[Performance]]&lt;=2,Table3[[#This Row],[Attrition]]="No"),"High Risk","Stable")</f>
        <v>Stable</v>
      </c>
    </row>
    <row r="250" spans="1:16" x14ac:dyDescent="0.25">
      <c r="A250" t="s">
        <v>311</v>
      </c>
      <c r="B250" t="s">
        <v>38</v>
      </c>
      <c r="C250" t="s">
        <v>14</v>
      </c>
      <c r="D250">
        <v>41</v>
      </c>
      <c r="E250" t="s">
        <v>67</v>
      </c>
      <c r="F250" t="s">
        <v>97</v>
      </c>
      <c r="G250">
        <v>41791</v>
      </c>
      <c r="H250">
        <v>2</v>
      </c>
      <c r="I250" s="1">
        <v>45154</v>
      </c>
      <c r="J250">
        <v>2</v>
      </c>
      <c r="K250" t="s">
        <v>17</v>
      </c>
      <c r="L250" t="s">
        <v>39</v>
      </c>
      <c r="M250" t="str">
        <f>IF(Table3[[#This Row],[Age]]&lt;30,"Young",IF(Table3[[#This Row],[Age]]&lt;=40,"Mid","Senior"))</f>
        <v>Senior</v>
      </c>
      <c r="N250" t="str">
        <f>IF(Table3[[#This Row],[Experience]]&lt;3,"Junior",IF(Table3[[#This Row],[Experience]]&lt;=7,"Mid","Senior"))</f>
        <v>Junior</v>
      </c>
      <c r="O250">
        <f>YEAR(Table3[[#This Row],[Joining_Date]])</f>
        <v>2023</v>
      </c>
      <c r="P250" t="str">
        <f>IF(AND(Table3[[#This Row],[Performance]]&lt;=2,Table3[[#This Row],[Attrition]]="No"),"High Risk","Stable")</f>
        <v>High Risk</v>
      </c>
    </row>
    <row r="251" spans="1:16" x14ac:dyDescent="0.25">
      <c r="A251" t="s">
        <v>312</v>
      </c>
      <c r="B251" t="s">
        <v>54</v>
      </c>
      <c r="C251" t="s">
        <v>14</v>
      </c>
      <c r="D251">
        <v>35</v>
      </c>
      <c r="E251" t="s">
        <v>15</v>
      </c>
      <c r="F251" t="s">
        <v>30</v>
      </c>
      <c r="G251">
        <v>47672</v>
      </c>
      <c r="H251">
        <v>3</v>
      </c>
      <c r="I251" s="1">
        <v>42408</v>
      </c>
      <c r="J251">
        <v>3</v>
      </c>
      <c r="K251" t="s">
        <v>17</v>
      </c>
      <c r="L251" t="s">
        <v>39</v>
      </c>
      <c r="M251" t="str">
        <f>IF(Table3[[#This Row],[Age]]&lt;30,"Young",IF(Table3[[#This Row],[Age]]&lt;=40,"Mid","Senior"))</f>
        <v>Mid</v>
      </c>
      <c r="N251" t="str">
        <f>IF(Table3[[#This Row],[Experience]]&lt;3,"Junior",IF(Table3[[#This Row],[Experience]]&lt;=7,"Mid","Senior"))</f>
        <v>Mid</v>
      </c>
      <c r="O251">
        <f>YEAR(Table3[[#This Row],[Joining_Date]])</f>
        <v>2016</v>
      </c>
      <c r="P251" t="str">
        <f>IF(AND(Table3[[#This Row],[Performance]]&lt;=2,Table3[[#This Row],[Attrition]]="No"),"High Risk","Stable")</f>
        <v>Stable</v>
      </c>
    </row>
    <row r="252" spans="1:16" x14ac:dyDescent="0.25">
      <c r="A252" t="s">
        <v>313</v>
      </c>
      <c r="B252" t="s">
        <v>45</v>
      </c>
      <c r="C252" t="s">
        <v>14</v>
      </c>
      <c r="D252">
        <v>36</v>
      </c>
      <c r="E252" t="s">
        <v>34</v>
      </c>
      <c r="F252" t="s">
        <v>52</v>
      </c>
      <c r="G252">
        <v>48651</v>
      </c>
      <c r="H252">
        <v>4</v>
      </c>
      <c r="I252" s="1">
        <v>42105</v>
      </c>
      <c r="J252">
        <v>4</v>
      </c>
      <c r="K252" t="s">
        <v>17</v>
      </c>
      <c r="L252" t="s">
        <v>18</v>
      </c>
      <c r="M252" t="str">
        <f>IF(Table3[[#This Row],[Age]]&lt;30,"Young",IF(Table3[[#This Row],[Age]]&lt;=40,"Mid","Senior"))</f>
        <v>Mid</v>
      </c>
      <c r="N252" t="str">
        <f>IF(Table3[[#This Row],[Experience]]&lt;3,"Junior",IF(Table3[[#This Row],[Experience]]&lt;=7,"Mid","Senior"))</f>
        <v>Mid</v>
      </c>
      <c r="O252">
        <f>YEAR(Table3[[#This Row],[Joining_Date]])</f>
        <v>2015</v>
      </c>
      <c r="P252" t="str">
        <f>IF(AND(Table3[[#This Row],[Performance]]&lt;=2,Table3[[#This Row],[Attrition]]="No"),"High Risk","Stable")</f>
        <v>Stable</v>
      </c>
    </row>
    <row r="253" spans="1:16" x14ac:dyDescent="0.25">
      <c r="A253" t="s">
        <v>314</v>
      </c>
      <c r="B253" t="s">
        <v>48</v>
      </c>
      <c r="C253" t="s">
        <v>21</v>
      </c>
      <c r="D253">
        <v>31</v>
      </c>
      <c r="E253" t="s">
        <v>15</v>
      </c>
      <c r="F253" t="s">
        <v>16</v>
      </c>
      <c r="G253">
        <v>72460</v>
      </c>
      <c r="H253">
        <v>10</v>
      </c>
      <c r="I253" s="1">
        <v>45217</v>
      </c>
      <c r="J253">
        <v>2</v>
      </c>
      <c r="K253" t="s">
        <v>17</v>
      </c>
      <c r="L253" t="s">
        <v>31</v>
      </c>
      <c r="M253" t="str">
        <f>IF(Table3[[#This Row],[Age]]&lt;30,"Young",IF(Table3[[#This Row],[Age]]&lt;=40,"Mid","Senior"))</f>
        <v>Mid</v>
      </c>
      <c r="N253" t="str">
        <f>IF(Table3[[#This Row],[Experience]]&lt;3,"Junior",IF(Table3[[#This Row],[Experience]]&lt;=7,"Mid","Senior"))</f>
        <v>Senior</v>
      </c>
      <c r="O253">
        <f>YEAR(Table3[[#This Row],[Joining_Date]])</f>
        <v>2023</v>
      </c>
      <c r="P253" t="str">
        <f>IF(AND(Table3[[#This Row],[Performance]]&lt;=2,Table3[[#This Row],[Attrition]]="No"),"High Risk","Stable")</f>
        <v>High Risk</v>
      </c>
    </row>
    <row r="254" spans="1:16" x14ac:dyDescent="0.25">
      <c r="A254" t="s">
        <v>315</v>
      </c>
      <c r="B254" t="s">
        <v>60</v>
      </c>
      <c r="C254" t="s">
        <v>14</v>
      </c>
      <c r="D254">
        <v>31</v>
      </c>
      <c r="E254" t="s">
        <v>67</v>
      </c>
      <c r="F254" t="s">
        <v>110</v>
      </c>
      <c r="G254">
        <v>49145</v>
      </c>
      <c r="H254">
        <v>1</v>
      </c>
      <c r="I254" s="1">
        <v>42476</v>
      </c>
      <c r="J254">
        <v>1</v>
      </c>
      <c r="K254" t="s">
        <v>17</v>
      </c>
      <c r="L254" t="s">
        <v>39</v>
      </c>
      <c r="M254" t="str">
        <f>IF(Table3[[#This Row],[Age]]&lt;30,"Young",IF(Table3[[#This Row],[Age]]&lt;=40,"Mid","Senior"))</f>
        <v>Mid</v>
      </c>
      <c r="N254" t="str">
        <f>IF(Table3[[#This Row],[Experience]]&lt;3,"Junior",IF(Table3[[#This Row],[Experience]]&lt;=7,"Mid","Senior"))</f>
        <v>Junior</v>
      </c>
      <c r="O254">
        <f>YEAR(Table3[[#This Row],[Joining_Date]])</f>
        <v>2016</v>
      </c>
      <c r="P254" t="str">
        <f>IF(AND(Table3[[#This Row],[Performance]]&lt;=2,Table3[[#This Row],[Attrition]]="No"),"High Risk","Stable")</f>
        <v>High Risk</v>
      </c>
    </row>
    <row r="255" spans="1:16" x14ac:dyDescent="0.25">
      <c r="A255" t="s">
        <v>316</v>
      </c>
      <c r="B255" t="s">
        <v>38</v>
      </c>
      <c r="C255" t="s">
        <v>21</v>
      </c>
      <c r="D255">
        <v>27</v>
      </c>
      <c r="E255" t="s">
        <v>34</v>
      </c>
      <c r="F255" t="s">
        <v>74</v>
      </c>
      <c r="G255">
        <v>57172</v>
      </c>
      <c r="H255">
        <v>6</v>
      </c>
      <c r="I255" s="1">
        <v>43751</v>
      </c>
      <c r="J255">
        <v>4</v>
      </c>
      <c r="K255" t="s">
        <v>17</v>
      </c>
      <c r="L255" t="s">
        <v>18</v>
      </c>
      <c r="M255" t="str">
        <f>IF(Table3[[#This Row],[Age]]&lt;30,"Young",IF(Table3[[#This Row],[Age]]&lt;=40,"Mid","Senior"))</f>
        <v>Young</v>
      </c>
      <c r="N255" t="str">
        <f>IF(Table3[[#This Row],[Experience]]&lt;3,"Junior",IF(Table3[[#This Row],[Experience]]&lt;=7,"Mid","Senior"))</f>
        <v>Mid</v>
      </c>
      <c r="O255">
        <f>YEAR(Table3[[#This Row],[Joining_Date]])</f>
        <v>2019</v>
      </c>
      <c r="P255" t="str">
        <f>IF(AND(Table3[[#This Row],[Performance]]&lt;=2,Table3[[#This Row],[Attrition]]="No"),"High Risk","Stable")</f>
        <v>Stable</v>
      </c>
    </row>
    <row r="256" spans="1:16" x14ac:dyDescent="0.25">
      <c r="A256" t="s">
        <v>317</v>
      </c>
      <c r="B256" t="s">
        <v>45</v>
      </c>
      <c r="C256" t="s">
        <v>14</v>
      </c>
      <c r="D256">
        <v>22</v>
      </c>
      <c r="E256" t="s">
        <v>34</v>
      </c>
      <c r="F256" t="s">
        <v>74</v>
      </c>
      <c r="G256">
        <v>42865</v>
      </c>
      <c r="H256">
        <v>1</v>
      </c>
      <c r="I256" s="1">
        <v>44430</v>
      </c>
      <c r="J256">
        <v>4</v>
      </c>
      <c r="K256" t="s">
        <v>17</v>
      </c>
      <c r="L256" t="s">
        <v>39</v>
      </c>
      <c r="M256" t="str">
        <f>IF(Table3[[#This Row],[Age]]&lt;30,"Young",IF(Table3[[#This Row],[Age]]&lt;=40,"Mid","Senior"))</f>
        <v>Young</v>
      </c>
      <c r="N256" t="str">
        <f>IF(Table3[[#This Row],[Experience]]&lt;3,"Junior",IF(Table3[[#This Row],[Experience]]&lt;=7,"Mid","Senior"))</f>
        <v>Junior</v>
      </c>
      <c r="O256">
        <f>YEAR(Table3[[#This Row],[Joining_Date]])</f>
        <v>2021</v>
      </c>
      <c r="P256" t="str">
        <f>IF(AND(Table3[[#This Row],[Performance]]&lt;=2,Table3[[#This Row],[Attrition]]="No"),"High Risk","Stable")</f>
        <v>Stable</v>
      </c>
    </row>
    <row r="257" spans="1:16" x14ac:dyDescent="0.25">
      <c r="A257" t="s">
        <v>318</v>
      </c>
      <c r="B257" t="s">
        <v>60</v>
      </c>
      <c r="C257" t="s">
        <v>14</v>
      </c>
      <c r="D257">
        <v>40</v>
      </c>
      <c r="E257" t="s">
        <v>34</v>
      </c>
      <c r="F257" t="s">
        <v>74</v>
      </c>
      <c r="G257">
        <v>49296</v>
      </c>
      <c r="H257">
        <v>3</v>
      </c>
      <c r="I257" s="1">
        <v>42770</v>
      </c>
      <c r="J257">
        <v>3</v>
      </c>
      <c r="K257" t="s">
        <v>17</v>
      </c>
      <c r="L257" t="s">
        <v>18</v>
      </c>
      <c r="M257" t="str">
        <f>IF(Table3[[#This Row],[Age]]&lt;30,"Young",IF(Table3[[#This Row],[Age]]&lt;=40,"Mid","Senior"))</f>
        <v>Mid</v>
      </c>
      <c r="N257" t="str">
        <f>IF(Table3[[#This Row],[Experience]]&lt;3,"Junior",IF(Table3[[#This Row],[Experience]]&lt;=7,"Mid","Senior"))</f>
        <v>Mid</v>
      </c>
      <c r="O257">
        <f>YEAR(Table3[[#This Row],[Joining_Date]])</f>
        <v>2017</v>
      </c>
      <c r="P257" t="str">
        <f>IF(AND(Table3[[#This Row],[Performance]]&lt;=2,Table3[[#This Row],[Attrition]]="No"),"High Risk","Stable")</f>
        <v>Stable</v>
      </c>
    </row>
    <row r="258" spans="1:16" x14ac:dyDescent="0.25">
      <c r="A258" t="s">
        <v>319</v>
      </c>
      <c r="B258" t="s">
        <v>199</v>
      </c>
      <c r="C258" t="s">
        <v>14</v>
      </c>
      <c r="D258">
        <v>42</v>
      </c>
      <c r="E258" t="s">
        <v>15</v>
      </c>
      <c r="F258" t="s">
        <v>28</v>
      </c>
      <c r="G258">
        <v>74780</v>
      </c>
      <c r="H258">
        <v>10</v>
      </c>
      <c r="I258" s="1">
        <v>43596</v>
      </c>
      <c r="J258">
        <v>5</v>
      </c>
      <c r="K258" t="s">
        <v>17</v>
      </c>
      <c r="L258" t="s">
        <v>31</v>
      </c>
      <c r="M258" t="str">
        <f>IF(Table3[[#This Row],[Age]]&lt;30,"Young",IF(Table3[[#This Row],[Age]]&lt;=40,"Mid","Senior"))</f>
        <v>Senior</v>
      </c>
      <c r="N258" t="str">
        <f>IF(Table3[[#This Row],[Experience]]&lt;3,"Junior",IF(Table3[[#This Row],[Experience]]&lt;=7,"Mid","Senior"))</f>
        <v>Senior</v>
      </c>
      <c r="O258">
        <f>YEAR(Table3[[#This Row],[Joining_Date]])</f>
        <v>2019</v>
      </c>
      <c r="P258" t="str">
        <f>IF(AND(Table3[[#This Row],[Performance]]&lt;=2,Table3[[#This Row],[Attrition]]="No"),"High Risk","Stable")</f>
        <v>Stable</v>
      </c>
    </row>
    <row r="259" spans="1:16" x14ac:dyDescent="0.25">
      <c r="A259" t="s">
        <v>320</v>
      </c>
      <c r="B259" t="s">
        <v>27</v>
      </c>
      <c r="C259" t="s">
        <v>14</v>
      </c>
      <c r="D259">
        <v>27</v>
      </c>
      <c r="E259" t="s">
        <v>24</v>
      </c>
      <c r="F259" t="s">
        <v>124</v>
      </c>
      <c r="G259">
        <v>62067</v>
      </c>
      <c r="H259">
        <v>6</v>
      </c>
      <c r="I259" s="1">
        <v>44422</v>
      </c>
      <c r="J259">
        <v>1</v>
      </c>
      <c r="K259" t="s">
        <v>17</v>
      </c>
      <c r="L259" t="s">
        <v>50</v>
      </c>
      <c r="M259" t="str">
        <f>IF(Table3[[#This Row],[Age]]&lt;30,"Young",IF(Table3[[#This Row],[Age]]&lt;=40,"Mid","Senior"))</f>
        <v>Young</v>
      </c>
      <c r="N259" t="str">
        <f>IF(Table3[[#This Row],[Experience]]&lt;3,"Junior",IF(Table3[[#This Row],[Experience]]&lt;=7,"Mid","Senior"))</f>
        <v>Mid</v>
      </c>
      <c r="O259">
        <f>YEAR(Table3[[#This Row],[Joining_Date]])</f>
        <v>2021</v>
      </c>
      <c r="P259" t="str">
        <f>IF(AND(Table3[[#This Row],[Performance]]&lt;=2,Table3[[#This Row],[Attrition]]="No"),"High Risk","Stable")</f>
        <v>High Risk</v>
      </c>
    </row>
    <row r="260" spans="1:16" x14ac:dyDescent="0.25">
      <c r="A260" t="s">
        <v>321</v>
      </c>
      <c r="B260" t="s">
        <v>48</v>
      </c>
      <c r="C260" t="s">
        <v>21</v>
      </c>
      <c r="D260">
        <v>44</v>
      </c>
      <c r="E260" t="s">
        <v>24</v>
      </c>
      <c r="F260" t="s">
        <v>25</v>
      </c>
      <c r="G260">
        <v>55369</v>
      </c>
      <c r="H260">
        <v>4</v>
      </c>
      <c r="I260" s="1">
        <v>43596</v>
      </c>
      <c r="J260">
        <v>4</v>
      </c>
      <c r="K260" t="s">
        <v>17</v>
      </c>
      <c r="L260" t="s">
        <v>43</v>
      </c>
      <c r="M260" t="str">
        <f>IF(Table3[[#This Row],[Age]]&lt;30,"Young",IF(Table3[[#This Row],[Age]]&lt;=40,"Mid","Senior"))</f>
        <v>Senior</v>
      </c>
      <c r="N260" t="str">
        <f>IF(Table3[[#This Row],[Experience]]&lt;3,"Junior",IF(Table3[[#This Row],[Experience]]&lt;=7,"Mid","Senior"))</f>
        <v>Mid</v>
      </c>
      <c r="O260">
        <f>YEAR(Table3[[#This Row],[Joining_Date]])</f>
        <v>2019</v>
      </c>
      <c r="P260" t="str">
        <f>IF(AND(Table3[[#This Row],[Performance]]&lt;=2,Table3[[#This Row],[Attrition]]="No"),"High Risk","Stable")</f>
        <v>Stable</v>
      </c>
    </row>
    <row r="261" spans="1:16" x14ac:dyDescent="0.25">
      <c r="A261" t="s">
        <v>322</v>
      </c>
      <c r="B261" t="s">
        <v>58</v>
      </c>
      <c r="C261" t="s">
        <v>21</v>
      </c>
      <c r="D261">
        <v>42</v>
      </c>
      <c r="E261" t="s">
        <v>67</v>
      </c>
      <c r="F261" t="s">
        <v>110</v>
      </c>
      <c r="G261">
        <v>56591</v>
      </c>
      <c r="H261">
        <v>5</v>
      </c>
      <c r="I261" s="1">
        <v>42688</v>
      </c>
      <c r="J261">
        <v>4</v>
      </c>
      <c r="K261" t="s">
        <v>17</v>
      </c>
      <c r="L261" t="s">
        <v>50</v>
      </c>
      <c r="M261" t="str">
        <f>IF(Table3[[#This Row],[Age]]&lt;30,"Young",IF(Table3[[#This Row],[Age]]&lt;=40,"Mid","Senior"))</f>
        <v>Senior</v>
      </c>
      <c r="N261" t="str">
        <f>IF(Table3[[#This Row],[Experience]]&lt;3,"Junior",IF(Table3[[#This Row],[Experience]]&lt;=7,"Mid","Senior"))</f>
        <v>Mid</v>
      </c>
      <c r="O261">
        <f>YEAR(Table3[[#This Row],[Joining_Date]])</f>
        <v>2016</v>
      </c>
      <c r="P261" t="str">
        <f>IF(AND(Table3[[#This Row],[Performance]]&lt;=2,Table3[[#This Row],[Attrition]]="No"),"High Risk","Stable")</f>
        <v>Stable</v>
      </c>
    </row>
    <row r="262" spans="1:16" x14ac:dyDescent="0.25">
      <c r="A262" t="s">
        <v>323</v>
      </c>
      <c r="B262" t="s">
        <v>48</v>
      </c>
      <c r="C262" t="s">
        <v>21</v>
      </c>
      <c r="D262">
        <v>22</v>
      </c>
      <c r="E262" t="s">
        <v>24</v>
      </c>
      <c r="F262" t="s">
        <v>49</v>
      </c>
      <c r="G262">
        <v>41736</v>
      </c>
      <c r="H262">
        <v>1</v>
      </c>
      <c r="I262" s="1">
        <v>42804</v>
      </c>
      <c r="J262">
        <v>4</v>
      </c>
      <c r="K262" t="s">
        <v>17</v>
      </c>
      <c r="L262" t="s">
        <v>43</v>
      </c>
      <c r="M262" t="str">
        <f>IF(Table3[[#This Row],[Age]]&lt;30,"Young",IF(Table3[[#This Row],[Age]]&lt;=40,"Mid","Senior"))</f>
        <v>Young</v>
      </c>
      <c r="N262" t="str">
        <f>IF(Table3[[#This Row],[Experience]]&lt;3,"Junior",IF(Table3[[#This Row],[Experience]]&lt;=7,"Mid","Senior"))</f>
        <v>Junior</v>
      </c>
      <c r="O262">
        <f>YEAR(Table3[[#This Row],[Joining_Date]])</f>
        <v>2017</v>
      </c>
      <c r="P262" t="str">
        <f>IF(AND(Table3[[#This Row],[Performance]]&lt;=2,Table3[[#This Row],[Attrition]]="No"),"High Risk","Stable")</f>
        <v>Stable</v>
      </c>
    </row>
    <row r="263" spans="1:16" x14ac:dyDescent="0.25">
      <c r="A263" t="s">
        <v>324</v>
      </c>
      <c r="B263" t="s">
        <v>23</v>
      </c>
      <c r="C263" t="s">
        <v>14</v>
      </c>
      <c r="D263">
        <v>44</v>
      </c>
      <c r="E263" t="s">
        <v>67</v>
      </c>
      <c r="F263" t="s">
        <v>110</v>
      </c>
      <c r="G263">
        <v>78006</v>
      </c>
      <c r="H263">
        <v>14</v>
      </c>
      <c r="I263" s="1">
        <v>42690</v>
      </c>
      <c r="J263">
        <v>1</v>
      </c>
      <c r="K263" t="s">
        <v>17</v>
      </c>
      <c r="L263" t="s">
        <v>50</v>
      </c>
      <c r="M263" t="str">
        <f>IF(Table3[[#This Row],[Age]]&lt;30,"Young",IF(Table3[[#This Row],[Age]]&lt;=40,"Mid","Senior"))</f>
        <v>Senior</v>
      </c>
      <c r="N263" t="str">
        <f>IF(Table3[[#This Row],[Experience]]&lt;3,"Junior",IF(Table3[[#This Row],[Experience]]&lt;=7,"Mid","Senior"))</f>
        <v>Senior</v>
      </c>
      <c r="O263">
        <f>YEAR(Table3[[#This Row],[Joining_Date]])</f>
        <v>2016</v>
      </c>
      <c r="P263" t="str">
        <f>IF(AND(Table3[[#This Row],[Performance]]&lt;=2,Table3[[#This Row],[Attrition]]="No"),"High Risk","Stable")</f>
        <v>High Risk</v>
      </c>
    </row>
    <row r="264" spans="1:16" x14ac:dyDescent="0.25">
      <c r="A264" t="s">
        <v>325</v>
      </c>
      <c r="B264" t="s">
        <v>13</v>
      </c>
      <c r="C264" t="s">
        <v>14</v>
      </c>
      <c r="D264">
        <v>39</v>
      </c>
      <c r="E264" t="s">
        <v>24</v>
      </c>
      <c r="F264" t="s">
        <v>25</v>
      </c>
      <c r="G264">
        <v>62255</v>
      </c>
      <c r="H264">
        <v>9</v>
      </c>
      <c r="I264" s="1">
        <v>45202</v>
      </c>
      <c r="J264">
        <v>4</v>
      </c>
      <c r="K264" t="s">
        <v>17</v>
      </c>
      <c r="L264" t="s">
        <v>18</v>
      </c>
      <c r="M264" t="str">
        <f>IF(Table3[[#This Row],[Age]]&lt;30,"Young",IF(Table3[[#This Row],[Age]]&lt;=40,"Mid","Senior"))</f>
        <v>Mid</v>
      </c>
      <c r="N264" t="str">
        <f>IF(Table3[[#This Row],[Experience]]&lt;3,"Junior",IF(Table3[[#This Row],[Experience]]&lt;=7,"Mid","Senior"))</f>
        <v>Senior</v>
      </c>
      <c r="O264">
        <f>YEAR(Table3[[#This Row],[Joining_Date]])</f>
        <v>2023</v>
      </c>
      <c r="P264" t="str">
        <f>IF(AND(Table3[[#This Row],[Performance]]&lt;=2,Table3[[#This Row],[Attrition]]="No"),"High Risk","Stable")</f>
        <v>Stable</v>
      </c>
    </row>
    <row r="265" spans="1:16" x14ac:dyDescent="0.25">
      <c r="A265" t="s">
        <v>326</v>
      </c>
      <c r="B265" t="s">
        <v>33</v>
      </c>
      <c r="C265" t="s">
        <v>21</v>
      </c>
      <c r="D265">
        <v>39</v>
      </c>
      <c r="E265" t="s">
        <v>15</v>
      </c>
      <c r="F265" t="s">
        <v>30</v>
      </c>
      <c r="G265">
        <v>76380</v>
      </c>
      <c r="H265">
        <v>11</v>
      </c>
      <c r="I265" s="1">
        <v>45374</v>
      </c>
      <c r="J265">
        <v>1</v>
      </c>
      <c r="K265" t="s">
        <v>17</v>
      </c>
      <c r="L265" t="s">
        <v>50</v>
      </c>
      <c r="M265" t="str">
        <f>IF(Table3[[#This Row],[Age]]&lt;30,"Young",IF(Table3[[#This Row],[Age]]&lt;=40,"Mid","Senior"))</f>
        <v>Mid</v>
      </c>
      <c r="N265" t="str">
        <f>IF(Table3[[#This Row],[Experience]]&lt;3,"Junior",IF(Table3[[#This Row],[Experience]]&lt;=7,"Mid","Senior"))</f>
        <v>Senior</v>
      </c>
      <c r="O265">
        <f>YEAR(Table3[[#This Row],[Joining_Date]])</f>
        <v>2024</v>
      </c>
      <c r="P265" t="str">
        <f>IF(AND(Table3[[#This Row],[Performance]]&lt;=2,Table3[[#This Row],[Attrition]]="No"),"High Risk","Stable")</f>
        <v>High Risk</v>
      </c>
    </row>
    <row r="266" spans="1:16" x14ac:dyDescent="0.25">
      <c r="A266" t="s">
        <v>327</v>
      </c>
      <c r="B266" t="s">
        <v>56</v>
      </c>
      <c r="C266" t="s">
        <v>21</v>
      </c>
      <c r="D266">
        <v>23</v>
      </c>
      <c r="E266" t="s">
        <v>67</v>
      </c>
      <c r="F266" t="s">
        <v>97</v>
      </c>
      <c r="G266">
        <v>44305</v>
      </c>
      <c r="H266">
        <v>2</v>
      </c>
      <c r="I266" s="1">
        <v>43432</v>
      </c>
      <c r="J266">
        <v>1</v>
      </c>
      <c r="K266" t="s">
        <v>42</v>
      </c>
      <c r="L266" t="s">
        <v>31</v>
      </c>
      <c r="M266" t="str">
        <f>IF(Table3[[#This Row],[Age]]&lt;30,"Young",IF(Table3[[#This Row],[Age]]&lt;=40,"Mid","Senior"))</f>
        <v>Young</v>
      </c>
      <c r="N266" t="str">
        <f>IF(Table3[[#This Row],[Experience]]&lt;3,"Junior",IF(Table3[[#This Row],[Experience]]&lt;=7,"Mid","Senior"))</f>
        <v>Junior</v>
      </c>
      <c r="O266">
        <f>YEAR(Table3[[#This Row],[Joining_Date]])</f>
        <v>2018</v>
      </c>
      <c r="P266" t="str">
        <f>IF(AND(Table3[[#This Row],[Performance]]&lt;=2,Table3[[#This Row],[Attrition]]="No"),"High Risk","Stable")</f>
        <v>Stable</v>
      </c>
    </row>
    <row r="267" spans="1:16" x14ac:dyDescent="0.25">
      <c r="A267" t="s">
        <v>328</v>
      </c>
      <c r="B267" t="s">
        <v>27</v>
      </c>
      <c r="C267" t="s">
        <v>14</v>
      </c>
      <c r="D267">
        <v>42</v>
      </c>
      <c r="E267" t="s">
        <v>34</v>
      </c>
      <c r="F267" t="s">
        <v>74</v>
      </c>
      <c r="G267">
        <v>68219</v>
      </c>
      <c r="H267">
        <v>13</v>
      </c>
      <c r="I267" s="1">
        <v>44528</v>
      </c>
      <c r="J267">
        <v>2</v>
      </c>
      <c r="K267" t="s">
        <v>17</v>
      </c>
      <c r="L267" t="s">
        <v>31</v>
      </c>
      <c r="M267" t="str">
        <f>IF(Table3[[#This Row],[Age]]&lt;30,"Young",IF(Table3[[#This Row],[Age]]&lt;=40,"Mid","Senior"))</f>
        <v>Senior</v>
      </c>
      <c r="N267" t="str">
        <f>IF(Table3[[#This Row],[Experience]]&lt;3,"Junior",IF(Table3[[#This Row],[Experience]]&lt;=7,"Mid","Senior"))</f>
        <v>Senior</v>
      </c>
      <c r="O267">
        <f>YEAR(Table3[[#This Row],[Joining_Date]])</f>
        <v>2021</v>
      </c>
      <c r="P267" t="str">
        <f>IF(AND(Table3[[#This Row],[Performance]]&lt;=2,Table3[[#This Row],[Attrition]]="No"),"High Risk","Stable")</f>
        <v>High Risk</v>
      </c>
    </row>
    <row r="268" spans="1:16" x14ac:dyDescent="0.25">
      <c r="A268" t="s">
        <v>329</v>
      </c>
      <c r="B268" t="s">
        <v>54</v>
      </c>
      <c r="C268" t="s">
        <v>21</v>
      </c>
      <c r="D268">
        <v>44</v>
      </c>
      <c r="E268" t="s">
        <v>24</v>
      </c>
      <c r="F268" t="s">
        <v>124</v>
      </c>
      <c r="G268">
        <v>64240</v>
      </c>
      <c r="H268">
        <v>9</v>
      </c>
      <c r="I268" s="1">
        <v>44350</v>
      </c>
      <c r="J268">
        <v>3</v>
      </c>
      <c r="K268" t="s">
        <v>17</v>
      </c>
      <c r="L268" t="s">
        <v>43</v>
      </c>
      <c r="M268" t="str">
        <f>IF(Table3[[#This Row],[Age]]&lt;30,"Young",IF(Table3[[#This Row],[Age]]&lt;=40,"Mid","Senior"))</f>
        <v>Senior</v>
      </c>
      <c r="N268" t="str">
        <f>IF(Table3[[#This Row],[Experience]]&lt;3,"Junior",IF(Table3[[#This Row],[Experience]]&lt;=7,"Mid","Senior"))</f>
        <v>Senior</v>
      </c>
      <c r="O268">
        <f>YEAR(Table3[[#This Row],[Joining_Date]])</f>
        <v>2021</v>
      </c>
      <c r="P268" t="str">
        <f>IF(AND(Table3[[#This Row],[Performance]]&lt;=2,Table3[[#This Row],[Attrition]]="No"),"High Risk","Stable")</f>
        <v>Stable</v>
      </c>
    </row>
    <row r="269" spans="1:16" x14ac:dyDescent="0.25">
      <c r="A269" t="s">
        <v>330</v>
      </c>
      <c r="B269" t="s">
        <v>78</v>
      </c>
      <c r="C269" t="s">
        <v>14</v>
      </c>
      <c r="D269">
        <v>30</v>
      </c>
      <c r="E269" t="s">
        <v>15</v>
      </c>
      <c r="F269" t="s">
        <v>80</v>
      </c>
      <c r="G269">
        <v>61492</v>
      </c>
      <c r="H269">
        <v>4</v>
      </c>
      <c r="I269" s="1">
        <v>45552</v>
      </c>
      <c r="J269">
        <v>2</v>
      </c>
      <c r="K269" t="s">
        <v>42</v>
      </c>
      <c r="L269" t="s">
        <v>39</v>
      </c>
      <c r="M269" t="str">
        <f>IF(Table3[[#This Row],[Age]]&lt;30,"Young",IF(Table3[[#This Row],[Age]]&lt;=40,"Mid","Senior"))</f>
        <v>Mid</v>
      </c>
      <c r="N269" t="str">
        <f>IF(Table3[[#This Row],[Experience]]&lt;3,"Junior",IF(Table3[[#This Row],[Experience]]&lt;=7,"Mid","Senior"))</f>
        <v>Mid</v>
      </c>
      <c r="O269">
        <f>YEAR(Table3[[#This Row],[Joining_Date]])</f>
        <v>2024</v>
      </c>
      <c r="P269" t="str">
        <f>IF(AND(Table3[[#This Row],[Performance]]&lt;=2,Table3[[#This Row],[Attrition]]="No"),"High Risk","Stable")</f>
        <v>Stable</v>
      </c>
    </row>
    <row r="270" spans="1:16" x14ac:dyDescent="0.25">
      <c r="A270" t="s">
        <v>331</v>
      </c>
      <c r="B270" t="s">
        <v>58</v>
      </c>
      <c r="C270" t="s">
        <v>14</v>
      </c>
      <c r="D270">
        <v>26</v>
      </c>
      <c r="E270" t="s">
        <v>24</v>
      </c>
      <c r="F270" t="s">
        <v>46</v>
      </c>
      <c r="G270">
        <v>59786</v>
      </c>
      <c r="H270">
        <v>5</v>
      </c>
      <c r="I270" s="1">
        <v>43701</v>
      </c>
      <c r="J270">
        <v>4</v>
      </c>
      <c r="K270" t="s">
        <v>17</v>
      </c>
      <c r="L270" t="s">
        <v>39</v>
      </c>
      <c r="M270" t="str">
        <f>IF(Table3[[#This Row],[Age]]&lt;30,"Young",IF(Table3[[#This Row],[Age]]&lt;=40,"Mid","Senior"))</f>
        <v>Young</v>
      </c>
      <c r="N270" t="str">
        <f>IF(Table3[[#This Row],[Experience]]&lt;3,"Junior",IF(Table3[[#This Row],[Experience]]&lt;=7,"Mid","Senior"))</f>
        <v>Mid</v>
      </c>
      <c r="O270">
        <f>YEAR(Table3[[#This Row],[Joining_Date]])</f>
        <v>2019</v>
      </c>
      <c r="P270" t="str">
        <f>IF(AND(Table3[[#This Row],[Performance]]&lt;=2,Table3[[#This Row],[Attrition]]="No"),"High Risk","Stable")</f>
        <v>Stable</v>
      </c>
    </row>
    <row r="271" spans="1:16" x14ac:dyDescent="0.25">
      <c r="A271" t="s">
        <v>332</v>
      </c>
      <c r="B271" t="s">
        <v>48</v>
      </c>
      <c r="C271" t="s">
        <v>14</v>
      </c>
      <c r="D271">
        <v>36</v>
      </c>
      <c r="E271" t="s">
        <v>15</v>
      </c>
      <c r="F271" t="s">
        <v>71</v>
      </c>
      <c r="G271">
        <v>82862</v>
      </c>
      <c r="H271">
        <v>15</v>
      </c>
      <c r="I271" s="1">
        <v>44388</v>
      </c>
      <c r="J271">
        <v>1</v>
      </c>
      <c r="K271" t="s">
        <v>17</v>
      </c>
      <c r="L271" t="s">
        <v>31</v>
      </c>
      <c r="M271" t="str">
        <f>IF(Table3[[#This Row],[Age]]&lt;30,"Young",IF(Table3[[#This Row],[Age]]&lt;=40,"Mid","Senior"))</f>
        <v>Mid</v>
      </c>
      <c r="N271" t="str">
        <f>IF(Table3[[#This Row],[Experience]]&lt;3,"Junior",IF(Table3[[#This Row],[Experience]]&lt;=7,"Mid","Senior"))</f>
        <v>Senior</v>
      </c>
      <c r="O271">
        <f>YEAR(Table3[[#This Row],[Joining_Date]])</f>
        <v>2021</v>
      </c>
      <c r="P271" t="str">
        <f>IF(AND(Table3[[#This Row],[Performance]]&lt;=2,Table3[[#This Row],[Attrition]]="No"),"High Risk","Stable")</f>
        <v>High Risk</v>
      </c>
    </row>
    <row r="272" spans="1:16" x14ac:dyDescent="0.25">
      <c r="A272" t="s">
        <v>333</v>
      </c>
      <c r="B272" t="s">
        <v>38</v>
      </c>
      <c r="C272" t="s">
        <v>21</v>
      </c>
      <c r="D272">
        <v>34</v>
      </c>
      <c r="E272" t="s">
        <v>67</v>
      </c>
      <c r="F272" t="s">
        <v>76</v>
      </c>
      <c r="G272">
        <v>57039</v>
      </c>
      <c r="H272">
        <v>6</v>
      </c>
      <c r="I272" s="1">
        <v>45383</v>
      </c>
      <c r="J272">
        <v>2</v>
      </c>
      <c r="K272" t="s">
        <v>17</v>
      </c>
      <c r="L272" t="s">
        <v>36</v>
      </c>
      <c r="M272" t="str">
        <f>IF(Table3[[#This Row],[Age]]&lt;30,"Young",IF(Table3[[#This Row],[Age]]&lt;=40,"Mid","Senior"))</f>
        <v>Mid</v>
      </c>
      <c r="N272" t="str">
        <f>IF(Table3[[#This Row],[Experience]]&lt;3,"Junior",IF(Table3[[#This Row],[Experience]]&lt;=7,"Mid","Senior"))</f>
        <v>Mid</v>
      </c>
      <c r="O272">
        <f>YEAR(Table3[[#This Row],[Joining_Date]])</f>
        <v>2024</v>
      </c>
      <c r="P272" t="str">
        <f>IF(AND(Table3[[#This Row],[Performance]]&lt;=2,Table3[[#This Row],[Attrition]]="No"),"High Risk","Stable")</f>
        <v>High Risk</v>
      </c>
    </row>
    <row r="273" spans="1:16" x14ac:dyDescent="0.25">
      <c r="A273" t="s">
        <v>334</v>
      </c>
      <c r="B273" t="s">
        <v>54</v>
      </c>
      <c r="C273" t="s">
        <v>14</v>
      </c>
      <c r="D273">
        <v>43</v>
      </c>
      <c r="E273" t="s">
        <v>24</v>
      </c>
      <c r="F273" t="s">
        <v>46</v>
      </c>
      <c r="G273">
        <v>40252</v>
      </c>
      <c r="H273">
        <v>1</v>
      </c>
      <c r="I273" s="1">
        <v>42412</v>
      </c>
      <c r="J273">
        <v>4</v>
      </c>
      <c r="K273" t="s">
        <v>42</v>
      </c>
      <c r="L273" t="s">
        <v>50</v>
      </c>
      <c r="M273" t="str">
        <f>IF(Table3[[#This Row],[Age]]&lt;30,"Young",IF(Table3[[#This Row],[Age]]&lt;=40,"Mid","Senior"))</f>
        <v>Senior</v>
      </c>
      <c r="N273" t="str">
        <f>IF(Table3[[#This Row],[Experience]]&lt;3,"Junior",IF(Table3[[#This Row],[Experience]]&lt;=7,"Mid","Senior"))</f>
        <v>Junior</v>
      </c>
      <c r="O273">
        <f>YEAR(Table3[[#This Row],[Joining_Date]])</f>
        <v>2016</v>
      </c>
      <c r="P273" t="str">
        <f>IF(AND(Table3[[#This Row],[Performance]]&lt;=2,Table3[[#This Row],[Attrition]]="No"),"High Risk","Stable")</f>
        <v>Stable</v>
      </c>
    </row>
    <row r="274" spans="1:16" x14ac:dyDescent="0.25">
      <c r="A274" t="s">
        <v>335</v>
      </c>
      <c r="B274" t="s">
        <v>23</v>
      </c>
      <c r="C274" t="s">
        <v>21</v>
      </c>
      <c r="D274">
        <v>28</v>
      </c>
      <c r="E274" t="s">
        <v>67</v>
      </c>
      <c r="F274" t="s">
        <v>110</v>
      </c>
      <c r="G274">
        <v>55649</v>
      </c>
      <c r="H274">
        <v>4</v>
      </c>
      <c r="I274" s="1">
        <v>43241</v>
      </c>
      <c r="J274">
        <v>2</v>
      </c>
      <c r="K274" t="s">
        <v>17</v>
      </c>
      <c r="L274" t="s">
        <v>31</v>
      </c>
      <c r="M274" t="str">
        <f>IF(Table3[[#This Row],[Age]]&lt;30,"Young",IF(Table3[[#This Row],[Age]]&lt;=40,"Mid","Senior"))</f>
        <v>Young</v>
      </c>
      <c r="N274" t="str">
        <f>IF(Table3[[#This Row],[Experience]]&lt;3,"Junior",IF(Table3[[#This Row],[Experience]]&lt;=7,"Mid","Senior"))</f>
        <v>Mid</v>
      </c>
      <c r="O274">
        <f>YEAR(Table3[[#This Row],[Joining_Date]])</f>
        <v>2018</v>
      </c>
      <c r="P274" t="str">
        <f>IF(AND(Table3[[#This Row],[Performance]]&lt;=2,Table3[[#This Row],[Attrition]]="No"),"High Risk","Stable")</f>
        <v>High Risk</v>
      </c>
    </row>
    <row r="275" spans="1:16" x14ac:dyDescent="0.25">
      <c r="A275" t="s">
        <v>336</v>
      </c>
      <c r="B275" t="s">
        <v>48</v>
      </c>
      <c r="C275" t="s">
        <v>21</v>
      </c>
      <c r="D275">
        <v>43</v>
      </c>
      <c r="E275" t="s">
        <v>24</v>
      </c>
      <c r="F275" t="s">
        <v>124</v>
      </c>
      <c r="G275">
        <v>50348</v>
      </c>
      <c r="H275">
        <v>5</v>
      </c>
      <c r="I275" s="1">
        <v>43628</v>
      </c>
      <c r="J275">
        <v>3</v>
      </c>
      <c r="K275" t="s">
        <v>17</v>
      </c>
      <c r="L275" t="s">
        <v>50</v>
      </c>
      <c r="M275" t="str">
        <f>IF(Table3[[#This Row],[Age]]&lt;30,"Young",IF(Table3[[#This Row],[Age]]&lt;=40,"Mid","Senior"))</f>
        <v>Senior</v>
      </c>
      <c r="N275" t="str">
        <f>IF(Table3[[#This Row],[Experience]]&lt;3,"Junior",IF(Table3[[#This Row],[Experience]]&lt;=7,"Mid","Senior"))</f>
        <v>Mid</v>
      </c>
      <c r="O275">
        <f>YEAR(Table3[[#This Row],[Joining_Date]])</f>
        <v>2019</v>
      </c>
      <c r="P275" t="str">
        <f>IF(AND(Table3[[#This Row],[Performance]]&lt;=2,Table3[[#This Row],[Attrition]]="No"),"High Risk","Stable")</f>
        <v>Stable</v>
      </c>
    </row>
    <row r="276" spans="1:16" x14ac:dyDescent="0.25">
      <c r="A276" t="s">
        <v>337</v>
      </c>
      <c r="B276" t="s">
        <v>126</v>
      </c>
      <c r="C276" t="s">
        <v>21</v>
      </c>
      <c r="D276">
        <v>28</v>
      </c>
      <c r="E276" t="s">
        <v>67</v>
      </c>
      <c r="F276" t="s">
        <v>97</v>
      </c>
      <c r="G276">
        <v>53776</v>
      </c>
      <c r="H276">
        <v>7</v>
      </c>
      <c r="I276" s="1">
        <v>42548</v>
      </c>
      <c r="J276">
        <v>5</v>
      </c>
      <c r="K276" t="s">
        <v>17</v>
      </c>
      <c r="L276" t="s">
        <v>39</v>
      </c>
      <c r="M276" t="str">
        <f>IF(Table3[[#This Row],[Age]]&lt;30,"Young",IF(Table3[[#This Row],[Age]]&lt;=40,"Mid","Senior"))</f>
        <v>Young</v>
      </c>
      <c r="N276" t="str">
        <f>IF(Table3[[#This Row],[Experience]]&lt;3,"Junior",IF(Table3[[#This Row],[Experience]]&lt;=7,"Mid","Senior"))</f>
        <v>Mid</v>
      </c>
      <c r="O276">
        <f>YEAR(Table3[[#This Row],[Joining_Date]])</f>
        <v>2016</v>
      </c>
      <c r="P276" t="str">
        <f>IF(AND(Table3[[#This Row],[Performance]]&lt;=2,Table3[[#This Row],[Attrition]]="No"),"High Risk","Stable")</f>
        <v>Stable</v>
      </c>
    </row>
    <row r="277" spans="1:16" x14ac:dyDescent="0.25">
      <c r="A277" t="s">
        <v>338</v>
      </c>
      <c r="B277" t="s">
        <v>54</v>
      </c>
      <c r="C277" t="s">
        <v>21</v>
      </c>
      <c r="D277">
        <v>25</v>
      </c>
      <c r="E277" t="s">
        <v>67</v>
      </c>
      <c r="F277" t="s">
        <v>97</v>
      </c>
      <c r="G277">
        <v>56371</v>
      </c>
      <c r="H277">
        <v>4</v>
      </c>
      <c r="I277" s="1">
        <v>42546</v>
      </c>
      <c r="J277">
        <v>4</v>
      </c>
      <c r="K277" t="s">
        <v>42</v>
      </c>
      <c r="L277" t="s">
        <v>18</v>
      </c>
      <c r="M277" t="str">
        <f>IF(Table3[[#This Row],[Age]]&lt;30,"Young",IF(Table3[[#This Row],[Age]]&lt;=40,"Mid","Senior"))</f>
        <v>Young</v>
      </c>
      <c r="N277" t="str">
        <f>IF(Table3[[#This Row],[Experience]]&lt;3,"Junior",IF(Table3[[#This Row],[Experience]]&lt;=7,"Mid","Senior"))</f>
        <v>Mid</v>
      </c>
      <c r="O277">
        <f>YEAR(Table3[[#This Row],[Joining_Date]])</f>
        <v>2016</v>
      </c>
      <c r="P277" t="str">
        <f>IF(AND(Table3[[#This Row],[Performance]]&lt;=2,Table3[[#This Row],[Attrition]]="No"),"High Risk","Stable")</f>
        <v>Stable</v>
      </c>
    </row>
    <row r="278" spans="1:16" x14ac:dyDescent="0.25">
      <c r="A278" t="s">
        <v>339</v>
      </c>
      <c r="B278" t="s">
        <v>54</v>
      </c>
      <c r="C278" t="s">
        <v>21</v>
      </c>
      <c r="D278">
        <v>33</v>
      </c>
      <c r="E278" t="s">
        <v>15</v>
      </c>
      <c r="F278" t="s">
        <v>16</v>
      </c>
      <c r="G278">
        <v>64746</v>
      </c>
      <c r="H278">
        <v>9</v>
      </c>
      <c r="I278" s="1">
        <v>43572</v>
      </c>
      <c r="J278">
        <v>2</v>
      </c>
      <c r="K278" t="s">
        <v>17</v>
      </c>
      <c r="L278" t="s">
        <v>31</v>
      </c>
      <c r="M278" t="str">
        <f>IF(Table3[[#This Row],[Age]]&lt;30,"Young",IF(Table3[[#This Row],[Age]]&lt;=40,"Mid","Senior"))</f>
        <v>Mid</v>
      </c>
      <c r="N278" t="str">
        <f>IF(Table3[[#This Row],[Experience]]&lt;3,"Junior",IF(Table3[[#This Row],[Experience]]&lt;=7,"Mid","Senior"))</f>
        <v>Senior</v>
      </c>
      <c r="O278">
        <f>YEAR(Table3[[#This Row],[Joining_Date]])</f>
        <v>2019</v>
      </c>
      <c r="P278" t="str">
        <f>IF(AND(Table3[[#This Row],[Performance]]&lt;=2,Table3[[#This Row],[Attrition]]="No"),"High Risk","Stable")</f>
        <v>High Risk</v>
      </c>
    </row>
    <row r="279" spans="1:16" x14ac:dyDescent="0.25">
      <c r="A279" t="s">
        <v>340</v>
      </c>
      <c r="B279" t="s">
        <v>101</v>
      </c>
      <c r="C279" t="s">
        <v>21</v>
      </c>
      <c r="D279">
        <v>33</v>
      </c>
      <c r="E279" t="s">
        <v>15</v>
      </c>
      <c r="F279" t="s">
        <v>30</v>
      </c>
      <c r="G279">
        <v>65290</v>
      </c>
      <c r="H279">
        <v>6</v>
      </c>
      <c r="I279" s="1">
        <v>45069</v>
      </c>
      <c r="J279">
        <v>2</v>
      </c>
      <c r="K279" t="s">
        <v>17</v>
      </c>
      <c r="L279" t="s">
        <v>18</v>
      </c>
      <c r="M279" t="str">
        <f>IF(Table3[[#This Row],[Age]]&lt;30,"Young",IF(Table3[[#This Row],[Age]]&lt;=40,"Mid","Senior"))</f>
        <v>Mid</v>
      </c>
      <c r="N279" t="str">
        <f>IF(Table3[[#This Row],[Experience]]&lt;3,"Junior",IF(Table3[[#This Row],[Experience]]&lt;=7,"Mid","Senior"))</f>
        <v>Mid</v>
      </c>
      <c r="O279">
        <f>YEAR(Table3[[#This Row],[Joining_Date]])</f>
        <v>2023</v>
      </c>
      <c r="P279" t="str">
        <f>IF(AND(Table3[[#This Row],[Performance]]&lt;=2,Table3[[#This Row],[Attrition]]="No"),"High Risk","Stable")</f>
        <v>High Risk</v>
      </c>
    </row>
    <row r="280" spans="1:16" x14ac:dyDescent="0.25">
      <c r="A280" t="s">
        <v>341</v>
      </c>
      <c r="B280" t="s">
        <v>88</v>
      </c>
      <c r="C280" t="s">
        <v>21</v>
      </c>
      <c r="D280">
        <v>25</v>
      </c>
      <c r="E280" t="s">
        <v>34</v>
      </c>
      <c r="F280" t="s">
        <v>35</v>
      </c>
      <c r="G280">
        <v>48759</v>
      </c>
      <c r="H280">
        <v>4</v>
      </c>
      <c r="I280" s="1">
        <v>45950</v>
      </c>
      <c r="J280">
        <v>4</v>
      </c>
      <c r="K280" t="s">
        <v>17</v>
      </c>
      <c r="L280" t="s">
        <v>50</v>
      </c>
      <c r="M280" t="str">
        <f>IF(Table3[[#This Row],[Age]]&lt;30,"Young",IF(Table3[[#This Row],[Age]]&lt;=40,"Mid","Senior"))</f>
        <v>Young</v>
      </c>
      <c r="N280" t="str">
        <f>IF(Table3[[#This Row],[Experience]]&lt;3,"Junior",IF(Table3[[#This Row],[Experience]]&lt;=7,"Mid","Senior"))</f>
        <v>Mid</v>
      </c>
      <c r="O280">
        <f>YEAR(Table3[[#This Row],[Joining_Date]])</f>
        <v>2025</v>
      </c>
      <c r="P280" t="str">
        <f>IF(AND(Table3[[#This Row],[Performance]]&lt;=2,Table3[[#This Row],[Attrition]]="No"),"High Risk","Stable")</f>
        <v>Stable</v>
      </c>
    </row>
    <row r="281" spans="1:16" x14ac:dyDescent="0.25">
      <c r="A281" t="s">
        <v>342</v>
      </c>
      <c r="B281" t="s">
        <v>13</v>
      </c>
      <c r="C281" t="s">
        <v>21</v>
      </c>
      <c r="D281">
        <v>39</v>
      </c>
      <c r="E281" t="s">
        <v>34</v>
      </c>
      <c r="F281" t="s">
        <v>41</v>
      </c>
      <c r="G281">
        <v>68262</v>
      </c>
      <c r="H281">
        <v>9</v>
      </c>
      <c r="I281" s="1">
        <v>45860</v>
      </c>
      <c r="J281">
        <v>1</v>
      </c>
      <c r="K281" t="s">
        <v>17</v>
      </c>
      <c r="L281" t="s">
        <v>36</v>
      </c>
      <c r="M281" t="str">
        <f>IF(Table3[[#This Row],[Age]]&lt;30,"Young",IF(Table3[[#This Row],[Age]]&lt;=40,"Mid","Senior"))</f>
        <v>Mid</v>
      </c>
      <c r="N281" t="str">
        <f>IF(Table3[[#This Row],[Experience]]&lt;3,"Junior",IF(Table3[[#This Row],[Experience]]&lt;=7,"Mid","Senior"))</f>
        <v>Senior</v>
      </c>
      <c r="O281">
        <f>YEAR(Table3[[#This Row],[Joining_Date]])</f>
        <v>2025</v>
      </c>
      <c r="P281" t="str">
        <f>IF(AND(Table3[[#This Row],[Performance]]&lt;=2,Table3[[#This Row],[Attrition]]="No"),"High Risk","Stable")</f>
        <v>High Risk</v>
      </c>
    </row>
    <row r="282" spans="1:16" x14ac:dyDescent="0.25">
      <c r="A282" t="s">
        <v>343</v>
      </c>
      <c r="B282" t="s">
        <v>56</v>
      </c>
      <c r="C282" t="s">
        <v>14</v>
      </c>
      <c r="D282">
        <v>42</v>
      </c>
      <c r="E282" t="s">
        <v>34</v>
      </c>
      <c r="F282" t="s">
        <v>74</v>
      </c>
      <c r="G282">
        <v>48341</v>
      </c>
      <c r="H282">
        <v>1</v>
      </c>
      <c r="I282" s="1">
        <v>45682</v>
      </c>
      <c r="J282">
        <v>2</v>
      </c>
      <c r="K282" t="s">
        <v>17</v>
      </c>
      <c r="L282" t="s">
        <v>18</v>
      </c>
      <c r="M282" t="str">
        <f>IF(Table3[[#This Row],[Age]]&lt;30,"Young",IF(Table3[[#This Row],[Age]]&lt;=40,"Mid","Senior"))</f>
        <v>Senior</v>
      </c>
      <c r="N282" t="str">
        <f>IF(Table3[[#This Row],[Experience]]&lt;3,"Junior",IF(Table3[[#This Row],[Experience]]&lt;=7,"Mid","Senior"))</f>
        <v>Junior</v>
      </c>
      <c r="O282">
        <f>YEAR(Table3[[#This Row],[Joining_Date]])</f>
        <v>2025</v>
      </c>
      <c r="P282" t="str">
        <f>IF(AND(Table3[[#This Row],[Performance]]&lt;=2,Table3[[#This Row],[Attrition]]="No"),"High Risk","Stable")</f>
        <v>High Risk</v>
      </c>
    </row>
    <row r="283" spans="1:16" x14ac:dyDescent="0.25">
      <c r="A283" t="s">
        <v>344</v>
      </c>
      <c r="B283" t="s">
        <v>48</v>
      </c>
      <c r="C283" t="s">
        <v>21</v>
      </c>
      <c r="D283">
        <v>32</v>
      </c>
      <c r="E283" t="s">
        <v>15</v>
      </c>
      <c r="F283" t="s">
        <v>30</v>
      </c>
      <c r="G283">
        <v>56337</v>
      </c>
      <c r="H283">
        <v>4</v>
      </c>
      <c r="I283" s="1">
        <v>45530</v>
      </c>
      <c r="J283">
        <v>5</v>
      </c>
      <c r="K283" t="s">
        <v>17</v>
      </c>
      <c r="L283" t="s">
        <v>43</v>
      </c>
      <c r="M283" t="str">
        <f>IF(Table3[[#This Row],[Age]]&lt;30,"Young",IF(Table3[[#This Row],[Age]]&lt;=40,"Mid","Senior"))</f>
        <v>Mid</v>
      </c>
      <c r="N283" t="str">
        <f>IF(Table3[[#This Row],[Experience]]&lt;3,"Junior",IF(Table3[[#This Row],[Experience]]&lt;=7,"Mid","Senior"))</f>
        <v>Mid</v>
      </c>
      <c r="O283">
        <f>YEAR(Table3[[#This Row],[Joining_Date]])</f>
        <v>2024</v>
      </c>
      <c r="P283" t="str">
        <f>IF(AND(Table3[[#This Row],[Performance]]&lt;=2,Table3[[#This Row],[Attrition]]="No"),"High Risk","Stable")</f>
        <v>Stable</v>
      </c>
    </row>
    <row r="284" spans="1:16" x14ac:dyDescent="0.25">
      <c r="A284" t="s">
        <v>345</v>
      </c>
      <c r="B284" t="s">
        <v>126</v>
      </c>
      <c r="C284" t="s">
        <v>21</v>
      </c>
      <c r="D284">
        <v>40</v>
      </c>
      <c r="E284" t="s">
        <v>34</v>
      </c>
      <c r="F284" t="s">
        <v>52</v>
      </c>
      <c r="G284">
        <v>38225</v>
      </c>
      <c r="H284">
        <v>2</v>
      </c>
      <c r="I284" s="1">
        <v>43078</v>
      </c>
      <c r="J284">
        <v>2</v>
      </c>
      <c r="K284" t="s">
        <v>42</v>
      </c>
      <c r="L284" t="s">
        <v>31</v>
      </c>
      <c r="M284" t="str">
        <f>IF(Table3[[#This Row],[Age]]&lt;30,"Young",IF(Table3[[#This Row],[Age]]&lt;=40,"Mid","Senior"))</f>
        <v>Mid</v>
      </c>
      <c r="N284" t="str">
        <f>IF(Table3[[#This Row],[Experience]]&lt;3,"Junior",IF(Table3[[#This Row],[Experience]]&lt;=7,"Mid","Senior"))</f>
        <v>Junior</v>
      </c>
      <c r="O284">
        <f>YEAR(Table3[[#This Row],[Joining_Date]])</f>
        <v>2017</v>
      </c>
      <c r="P284" t="str">
        <f>IF(AND(Table3[[#This Row],[Performance]]&lt;=2,Table3[[#This Row],[Attrition]]="No"),"High Risk","Stable")</f>
        <v>Stable</v>
      </c>
    </row>
    <row r="285" spans="1:16" x14ac:dyDescent="0.25">
      <c r="A285" t="s">
        <v>346</v>
      </c>
      <c r="B285" t="s">
        <v>23</v>
      </c>
      <c r="C285" t="s">
        <v>14</v>
      </c>
      <c r="D285">
        <v>44</v>
      </c>
      <c r="E285" t="s">
        <v>67</v>
      </c>
      <c r="F285" t="s">
        <v>76</v>
      </c>
      <c r="G285">
        <v>66350</v>
      </c>
      <c r="H285">
        <v>12</v>
      </c>
      <c r="I285" s="1">
        <v>44628</v>
      </c>
      <c r="J285">
        <v>5</v>
      </c>
      <c r="K285" t="s">
        <v>17</v>
      </c>
      <c r="L285" t="s">
        <v>50</v>
      </c>
      <c r="M285" t="str">
        <f>IF(Table3[[#This Row],[Age]]&lt;30,"Young",IF(Table3[[#This Row],[Age]]&lt;=40,"Mid","Senior"))</f>
        <v>Senior</v>
      </c>
      <c r="N285" t="str">
        <f>IF(Table3[[#This Row],[Experience]]&lt;3,"Junior",IF(Table3[[#This Row],[Experience]]&lt;=7,"Mid","Senior"))</f>
        <v>Senior</v>
      </c>
      <c r="O285">
        <f>YEAR(Table3[[#This Row],[Joining_Date]])</f>
        <v>2022</v>
      </c>
      <c r="P285" t="str">
        <f>IF(AND(Table3[[#This Row],[Performance]]&lt;=2,Table3[[#This Row],[Attrition]]="No"),"High Risk","Stable")</f>
        <v>Stable</v>
      </c>
    </row>
    <row r="286" spans="1:16" x14ac:dyDescent="0.25">
      <c r="A286" t="s">
        <v>347</v>
      </c>
      <c r="B286" t="s">
        <v>60</v>
      </c>
      <c r="C286" t="s">
        <v>14</v>
      </c>
      <c r="D286">
        <v>38</v>
      </c>
      <c r="E286" t="s">
        <v>24</v>
      </c>
      <c r="F286" t="s">
        <v>25</v>
      </c>
      <c r="G286">
        <v>54545</v>
      </c>
      <c r="H286">
        <v>6</v>
      </c>
      <c r="I286" s="1">
        <v>44202</v>
      </c>
      <c r="J286">
        <v>3</v>
      </c>
      <c r="K286" t="s">
        <v>17</v>
      </c>
      <c r="L286" t="s">
        <v>39</v>
      </c>
      <c r="M286" t="str">
        <f>IF(Table3[[#This Row],[Age]]&lt;30,"Young",IF(Table3[[#This Row],[Age]]&lt;=40,"Mid","Senior"))</f>
        <v>Mid</v>
      </c>
      <c r="N286" t="str">
        <f>IF(Table3[[#This Row],[Experience]]&lt;3,"Junior",IF(Table3[[#This Row],[Experience]]&lt;=7,"Mid","Senior"))</f>
        <v>Mid</v>
      </c>
      <c r="O286">
        <f>YEAR(Table3[[#This Row],[Joining_Date]])</f>
        <v>2021</v>
      </c>
      <c r="P286" t="str">
        <f>IF(AND(Table3[[#This Row],[Performance]]&lt;=2,Table3[[#This Row],[Attrition]]="No"),"High Risk","Stable")</f>
        <v>Stable</v>
      </c>
    </row>
    <row r="287" spans="1:16" x14ac:dyDescent="0.25">
      <c r="A287" t="s">
        <v>348</v>
      </c>
      <c r="B287" t="s">
        <v>13</v>
      </c>
      <c r="C287" t="s">
        <v>14</v>
      </c>
      <c r="D287">
        <v>23</v>
      </c>
      <c r="E287" t="s">
        <v>15</v>
      </c>
      <c r="F287" t="s">
        <v>28</v>
      </c>
      <c r="G287">
        <v>46412</v>
      </c>
      <c r="H287">
        <v>2</v>
      </c>
      <c r="I287" s="1">
        <v>45792</v>
      </c>
      <c r="J287">
        <v>4</v>
      </c>
      <c r="K287" t="s">
        <v>17</v>
      </c>
      <c r="L287" t="s">
        <v>43</v>
      </c>
      <c r="M287" t="str">
        <f>IF(Table3[[#This Row],[Age]]&lt;30,"Young",IF(Table3[[#This Row],[Age]]&lt;=40,"Mid","Senior"))</f>
        <v>Young</v>
      </c>
      <c r="N287" t="str">
        <f>IF(Table3[[#This Row],[Experience]]&lt;3,"Junior",IF(Table3[[#This Row],[Experience]]&lt;=7,"Mid","Senior"))</f>
        <v>Junior</v>
      </c>
      <c r="O287">
        <f>YEAR(Table3[[#This Row],[Joining_Date]])</f>
        <v>2025</v>
      </c>
      <c r="P287" t="str">
        <f>IF(AND(Table3[[#This Row],[Performance]]&lt;=2,Table3[[#This Row],[Attrition]]="No"),"High Risk","Stable")</f>
        <v>Stable</v>
      </c>
    </row>
    <row r="288" spans="1:16" x14ac:dyDescent="0.25">
      <c r="A288" t="s">
        <v>349</v>
      </c>
      <c r="B288" t="s">
        <v>63</v>
      </c>
      <c r="C288" t="s">
        <v>21</v>
      </c>
      <c r="D288">
        <v>22</v>
      </c>
      <c r="E288" t="s">
        <v>15</v>
      </c>
      <c r="F288" t="s">
        <v>28</v>
      </c>
      <c r="G288">
        <v>53993</v>
      </c>
      <c r="H288">
        <v>1</v>
      </c>
      <c r="I288" s="1">
        <v>42051</v>
      </c>
      <c r="J288">
        <v>2</v>
      </c>
      <c r="K288" t="s">
        <v>17</v>
      </c>
      <c r="L288" t="s">
        <v>43</v>
      </c>
      <c r="M288" t="str">
        <f>IF(Table3[[#This Row],[Age]]&lt;30,"Young",IF(Table3[[#This Row],[Age]]&lt;=40,"Mid","Senior"))</f>
        <v>Young</v>
      </c>
      <c r="N288" t="str">
        <f>IF(Table3[[#This Row],[Experience]]&lt;3,"Junior",IF(Table3[[#This Row],[Experience]]&lt;=7,"Mid","Senior"))</f>
        <v>Junior</v>
      </c>
      <c r="O288">
        <f>YEAR(Table3[[#This Row],[Joining_Date]])</f>
        <v>2015</v>
      </c>
      <c r="P288" t="str">
        <f>IF(AND(Table3[[#This Row],[Performance]]&lt;=2,Table3[[#This Row],[Attrition]]="No"),"High Risk","Stable")</f>
        <v>High Risk</v>
      </c>
    </row>
    <row r="289" spans="1:16" x14ac:dyDescent="0.25">
      <c r="A289" t="s">
        <v>350</v>
      </c>
      <c r="B289" t="s">
        <v>88</v>
      </c>
      <c r="C289" t="s">
        <v>14</v>
      </c>
      <c r="D289">
        <v>45</v>
      </c>
      <c r="E289" t="s">
        <v>24</v>
      </c>
      <c r="F289" t="s">
        <v>46</v>
      </c>
      <c r="G289">
        <v>69008</v>
      </c>
      <c r="H289">
        <v>8</v>
      </c>
      <c r="I289" s="1">
        <v>45635</v>
      </c>
      <c r="J289">
        <v>1</v>
      </c>
      <c r="K289" t="s">
        <v>42</v>
      </c>
      <c r="L289" t="s">
        <v>18</v>
      </c>
      <c r="M289" t="str">
        <f>IF(Table3[[#This Row],[Age]]&lt;30,"Young",IF(Table3[[#This Row],[Age]]&lt;=40,"Mid","Senior"))</f>
        <v>Senior</v>
      </c>
      <c r="N289" t="str">
        <f>IF(Table3[[#This Row],[Experience]]&lt;3,"Junior",IF(Table3[[#This Row],[Experience]]&lt;=7,"Mid","Senior"))</f>
        <v>Senior</v>
      </c>
      <c r="O289">
        <f>YEAR(Table3[[#This Row],[Joining_Date]])</f>
        <v>2024</v>
      </c>
      <c r="P289" t="str">
        <f>IF(AND(Table3[[#This Row],[Performance]]&lt;=2,Table3[[#This Row],[Attrition]]="No"),"High Risk","Stable")</f>
        <v>Stable</v>
      </c>
    </row>
    <row r="290" spans="1:16" x14ac:dyDescent="0.25">
      <c r="A290" t="s">
        <v>351</v>
      </c>
      <c r="B290" t="s">
        <v>66</v>
      </c>
      <c r="C290" t="s">
        <v>14</v>
      </c>
      <c r="D290">
        <v>42</v>
      </c>
      <c r="E290" t="s">
        <v>24</v>
      </c>
      <c r="F290" t="s">
        <v>25</v>
      </c>
      <c r="G290">
        <v>50128</v>
      </c>
      <c r="H290">
        <v>2</v>
      </c>
      <c r="I290" s="1">
        <v>43869</v>
      </c>
      <c r="J290">
        <v>5</v>
      </c>
      <c r="K290" t="s">
        <v>17</v>
      </c>
      <c r="L290" t="s">
        <v>18</v>
      </c>
      <c r="M290" t="str">
        <f>IF(Table3[[#This Row],[Age]]&lt;30,"Young",IF(Table3[[#This Row],[Age]]&lt;=40,"Mid","Senior"))</f>
        <v>Senior</v>
      </c>
      <c r="N290" t="str">
        <f>IF(Table3[[#This Row],[Experience]]&lt;3,"Junior",IF(Table3[[#This Row],[Experience]]&lt;=7,"Mid","Senior"))</f>
        <v>Junior</v>
      </c>
      <c r="O290">
        <f>YEAR(Table3[[#This Row],[Joining_Date]])</f>
        <v>2020</v>
      </c>
      <c r="P290" t="str">
        <f>IF(AND(Table3[[#This Row],[Performance]]&lt;=2,Table3[[#This Row],[Attrition]]="No"),"High Risk","Stable")</f>
        <v>Stable</v>
      </c>
    </row>
    <row r="291" spans="1:16" x14ac:dyDescent="0.25">
      <c r="A291" t="s">
        <v>352</v>
      </c>
      <c r="B291" t="s">
        <v>33</v>
      </c>
      <c r="C291" t="s">
        <v>21</v>
      </c>
      <c r="D291">
        <v>25</v>
      </c>
      <c r="E291" t="s">
        <v>34</v>
      </c>
      <c r="F291" t="s">
        <v>41</v>
      </c>
      <c r="G291">
        <v>44242</v>
      </c>
      <c r="H291">
        <v>3</v>
      </c>
      <c r="I291" s="1">
        <v>45039</v>
      </c>
      <c r="J291">
        <v>5</v>
      </c>
      <c r="K291" t="s">
        <v>42</v>
      </c>
      <c r="L291" t="s">
        <v>31</v>
      </c>
      <c r="M291" t="str">
        <f>IF(Table3[[#This Row],[Age]]&lt;30,"Young",IF(Table3[[#This Row],[Age]]&lt;=40,"Mid","Senior"))</f>
        <v>Young</v>
      </c>
      <c r="N291" t="str">
        <f>IF(Table3[[#This Row],[Experience]]&lt;3,"Junior",IF(Table3[[#This Row],[Experience]]&lt;=7,"Mid","Senior"))</f>
        <v>Mid</v>
      </c>
      <c r="O291">
        <f>YEAR(Table3[[#This Row],[Joining_Date]])</f>
        <v>2023</v>
      </c>
      <c r="P291" t="str">
        <f>IF(AND(Table3[[#This Row],[Performance]]&lt;=2,Table3[[#This Row],[Attrition]]="No"),"High Risk","Stable")</f>
        <v>Stable</v>
      </c>
    </row>
    <row r="292" spans="1:16" x14ac:dyDescent="0.25">
      <c r="A292" t="s">
        <v>353</v>
      </c>
      <c r="B292" t="s">
        <v>48</v>
      </c>
      <c r="C292" t="s">
        <v>14</v>
      </c>
      <c r="D292">
        <v>34</v>
      </c>
      <c r="E292" t="s">
        <v>34</v>
      </c>
      <c r="F292" t="s">
        <v>35</v>
      </c>
      <c r="G292">
        <v>45932</v>
      </c>
      <c r="H292">
        <v>4</v>
      </c>
      <c r="I292" s="1">
        <v>45819</v>
      </c>
      <c r="J292">
        <v>1</v>
      </c>
      <c r="K292" t="s">
        <v>17</v>
      </c>
      <c r="L292" t="s">
        <v>39</v>
      </c>
      <c r="M292" t="str">
        <f>IF(Table3[[#This Row],[Age]]&lt;30,"Young",IF(Table3[[#This Row],[Age]]&lt;=40,"Mid","Senior"))</f>
        <v>Mid</v>
      </c>
      <c r="N292" t="str">
        <f>IF(Table3[[#This Row],[Experience]]&lt;3,"Junior",IF(Table3[[#This Row],[Experience]]&lt;=7,"Mid","Senior"))</f>
        <v>Mid</v>
      </c>
      <c r="O292">
        <f>YEAR(Table3[[#This Row],[Joining_Date]])</f>
        <v>2025</v>
      </c>
      <c r="P292" t="str">
        <f>IF(AND(Table3[[#This Row],[Performance]]&lt;=2,Table3[[#This Row],[Attrition]]="No"),"High Risk","Stable")</f>
        <v>High Risk</v>
      </c>
    </row>
    <row r="293" spans="1:16" x14ac:dyDescent="0.25">
      <c r="A293" t="s">
        <v>354</v>
      </c>
      <c r="B293" t="s">
        <v>13</v>
      </c>
      <c r="C293" t="s">
        <v>14</v>
      </c>
      <c r="D293">
        <v>35</v>
      </c>
      <c r="E293" t="s">
        <v>67</v>
      </c>
      <c r="F293" t="s">
        <v>68</v>
      </c>
      <c r="G293">
        <v>64444</v>
      </c>
      <c r="H293">
        <v>10</v>
      </c>
      <c r="I293" s="1">
        <v>45388</v>
      </c>
      <c r="J293">
        <v>1</v>
      </c>
      <c r="K293" t="s">
        <v>17</v>
      </c>
      <c r="L293" t="s">
        <v>39</v>
      </c>
      <c r="M293" t="str">
        <f>IF(Table3[[#This Row],[Age]]&lt;30,"Young",IF(Table3[[#This Row],[Age]]&lt;=40,"Mid","Senior"))</f>
        <v>Mid</v>
      </c>
      <c r="N293" t="str">
        <f>IF(Table3[[#This Row],[Experience]]&lt;3,"Junior",IF(Table3[[#This Row],[Experience]]&lt;=7,"Mid","Senior"))</f>
        <v>Senior</v>
      </c>
      <c r="O293">
        <f>YEAR(Table3[[#This Row],[Joining_Date]])</f>
        <v>2024</v>
      </c>
      <c r="P293" t="str">
        <f>IF(AND(Table3[[#This Row],[Performance]]&lt;=2,Table3[[#This Row],[Attrition]]="No"),"High Risk","Stable")</f>
        <v>High Risk</v>
      </c>
    </row>
    <row r="294" spans="1:16" x14ac:dyDescent="0.25">
      <c r="A294" t="s">
        <v>355</v>
      </c>
      <c r="B294" t="s">
        <v>199</v>
      </c>
      <c r="C294" t="s">
        <v>21</v>
      </c>
      <c r="D294">
        <v>23</v>
      </c>
      <c r="E294" t="s">
        <v>15</v>
      </c>
      <c r="F294" t="s">
        <v>80</v>
      </c>
      <c r="G294">
        <v>46129</v>
      </c>
      <c r="H294">
        <v>2</v>
      </c>
      <c r="I294" s="1">
        <v>45597</v>
      </c>
      <c r="J294">
        <v>4</v>
      </c>
      <c r="K294" t="s">
        <v>17</v>
      </c>
      <c r="L294" t="s">
        <v>36</v>
      </c>
      <c r="M294" t="str">
        <f>IF(Table3[[#This Row],[Age]]&lt;30,"Young",IF(Table3[[#This Row],[Age]]&lt;=40,"Mid","Senior"))</f>
        <v>Young</v>
      </c>
      <c r="N294" t="str">
        <f>IF(Table3[[#This Row],[Experience]]&lt;3,"Junior",IF(Table3[[#This Row],[Experience]]&lt;=7,"Mid","Senior"))</f>
        <v>Junior</v>
      </c>
      <c r="O294">
        <f>YEAR(Table3[[#This Row],[Joining_Date]])</f>
        <v>2024</v>
      </c>
      <c r="P294" t="str">
        <f>IF(AND(Table3[[#This Row],[Performance]]&lt;=2,Table3[[#This Row],[Attrition]]="No"),"High Risk","Stable")</f>
        <v>Stable</v>
      </c>
    </row>
    <row r="295" spans="1:16" x14ac:dyDescent="0.25">
      <c r="A295" t="s">
        <v>356</v>
      </c>
      <c r="B295" t="s">
        <v>126</v>
      </c>
      <c r="C295" t="s">
        <v>14</v>
      </c>
      <c r="D295">
        <v>33</v>
      </c>
      <c r="E295" t="s">
        <v>24</v>
      </c>
      <c r="F295" t="s">
        <v>25</v>
      </c>
      <c r="G295">
        <v>56777</v>
      </c>
      <c r="H295">
        <v>6</v>
      </c>
      <c r="I295" s="1">
        <v>44314</v>
      </c>
      <c r="J295">
        <v>3</v>
      </c>
      <c r="K295" t="s">
        <v>17</v>
      </c>
      <c r="L295" t="s">
        <v>50</v>
      </c>
      <c r="M295" t="str">
        <f>IF(Table3[[#This Row],[Age]]&lt;30,"Young",IF(Table3[[#This Row],[Age]]&lt;=40,"Mid","Senior"))</f>
        <v>Mid</v>
      </c>
      <c r="N295" t="str">
        <f>IF(Table3[[#This Row],[Experience]]&lt;3,"Junior",IF(Table3[[#This Row],[Experience]]&lt;=7,"Mid","Senior"))</f>
        <v>Mid</v>
      </c>
      <c r="O295">
        <f>YEAR(Table3[[#This Row],[Joining_Date]])</f>
        <v>2021</v>
      </c>
      <c r="P295" t="str">
        <f>IF(AND(Table3[[#This Row],[Performance]]&lt;=2,Table3[[#This Row],[Attrition]]="No"),"High Risk","Stable")</f>
        <v>Stable</v>
      </c>
    </row>
    <row r="296" spans="1:16" x14ac:dyDescent="0.25">
      <c r="A296" t="s">
        <v>357</v>
      </c>
      <c r="B296" t="s">
        <v>20</v>
      </c>
      <c r="C296" t="s">
        <v>14</v>
      </c>
      <c r="D296">
        <v>45</v>
      </c>
      <c r="E296" t="s">
        <v>67</v>
      </c>
      <c r="F296" t="s">
        <v>76</v>
      </c>
      <c r="G296">
        <v>54966</v>
      </c>
      <c r="H296">
        <v>7</v>
      </c>
      <c r="I296" s="1">
        <v>42031</v>
      </c>
      <c r="J296">
        <v>4</v>
      </c>
      <c r="K296" t="s">
        <v>42</v>
      </c>
      <c r="L296" t="s">
        <v>43</v>
      </c>
      <c r="M296" t="str">
        <f>IF(Table3[[#This Row],[Age]]&lt;30,"Young",IF(Table3[[#This Row],[Age]]&lt;=40,"Mid","Senior"))</f>
        <v>Senior</v>
      </c>
      <c r="N296" t="str">
        <f>IF(Table3[[#This Row],[Experience]]&lt;3,"Junior",IF(Table3[[#This Row],[Experience]]&lt;=7,"Mid","Senior"))</f>
        <v>Mid</v>
      </c>
      <c r="O296">
        <f>YEAR(Table3[[#This Row],[Joining_Date]])</f>
        <v>2015</v>
      </c>
      <c r="P296" t="str">
        <f>IF(AND(Table3[[#This Row],[Performance]]&lt;=2,Table3[[#This Row],[Attrition]]="No"),"High Risk","Stable")</f>
        <v>Stable</v>
      </c>
    </row>
    <row r="297" spans="1:16" x14ac:dyDescent="0.25">
      <c r="A297" t="s">
        <v>358</v>
      </c>
      <c r="B297" t="s">
        <v>126</v>
      </c>
      <c r="C297" t="s">
        <v>14</v>
      </c>
      <c r="D297">
        <v>43</v>
      </c>
      <c r="E297" t="s">
        <v>24</v>
      </c>
      <c r="F297" t="s">
        <v>25</v>
      </c>
      <c r="G297">
        <v>79092</v>
      </c>
      <c r="H297">
        <v>12</v>
      </c>
      <c r="I297" s="1">
        <v>44983</v>
      </c>
      <c r="J297">
        <v>3</v>
      </c>
      <c r="K297" t="s">
        <v>17</v>
      </c>
      <c r="L297" t="s">
        <v>43</v>
      </c>
      <c r="M297" t="str">
        <f>IF(Table3[[#This Row],[Age]]&lt;30,"Young",IF(Table3[[#This Row],[Age]]&lt;=40,"Mid","Senior"))</f>
        <v>Senior</v>
      </c>
      <c r="N297" t="str">
        <f>IF(Table3[[#This Row],[Experience]]&lt;3,"Junior",IF(Table3[[#This Row],[Experience]]&lt;=7,"Mid","Senior"))</f>
        <v>Senior</v>
      </c>
      <c r="O297">
        <f>YEAR(Table3[[#This Row],[Joining_Date]])</f>
        <v>2023</v>
      </c>
      <c r="P297" t="str">
        <f>IF(AND(Table3[[#This Row],[Performance]]&lt;=2,Table3[[#This Row],[Attrition]]="No"),"High Risk","Stable")</f>
        <v>Stable</v>
      </c>
    </row>
    <row r="298" spans="1:16" x14ac:dyDescent="0.25">
      <c r="A298" t="s">
        <v>359</v>
      </c>
      <c r="B298" t="s">
        <v>78</v>
      </c>
      <c r="C298" t="s">
        <v>14</v>
      </c>
      <c r="D298">
        <v>26</v>
      </c>
      <c r="E298" t="s">
        <v>34</v>
      </c>
      <c r="F298" t="s">
        <v>52</v>
      </c>
      <c r="G298">
        <v>47024</v>
      </c>
      <c r="H298">
        <v>5</v>
      </c>
      <c r="I298" s="1">
        <v>42184</v>
      </c>
      <c r="J298">
        <v>2</v>
      </c>
      <c r="K298" t="s">
        <v>17</v>
      </c>
      <c r="L298" t="s">
        <v>39</v>
      </c>
      <c r="M298" t="str">
        <f>IF(Table3[[#This Row],[Age]]&lt;30,"Young",IF(Table3[[#This Row],[Age]]&lt;=40,"Mid","Senior"))</f>
        <v>Young</v>
      </c>
      <c r="N298" t="str">
        <f>IF(Table3[[#This Row],[Experience]]&lt;3,"Junior",IF(Table3[[#This Row],[Experience]]&lt;=7,"Mid","Senior"))</f>
        <v>Mid</v>
      </c>
      <c r="O298">
        <f>YEAR(Table3[[#This Row],[Joining_Date]])</f>
        <v>2015</v>
      </c>
      <c r="P298" t="str">
        <f>IF(AND(Table3[[#This Row],[Performance]]&lt;=2,Table3[[#This Row],[Attrition]]="No"),"High Risk","Stable")</f>
        <v>High Risk</v>
      </c>
    </row>
    <row r="299" spans="1:16" x14ac:dyDescent="0.25">
      <c r="A299" t="s">
        <v>360</v>
      </c>
      <c r="B299" t="s">
        <v>66</v>
      </c>
      <c r="C299" t="s">
        <v>21</v>
      </c>
      <c r="D299">
        <v>25</v>
      </c>
      <c r="E299" t="s">
        <v>24</v>
      </c>
      <c r="F299" t="s">
        <v>49</v>
      </c>
      <c r="G299">
        <v>57440</v>
      </c>
      <c r="H299">
        <v>4</v>
      </c>
      <c r="I299" s="1">
        <v>45363</v>
      </c>
      <c r="J299">
        <v>4</v>
      </c>
      <c r="K299" t="s">
        <v>42</v>
      </c>
      <c r="L299" t="s">
        <v>43</v>
      </c>
      <c r="M299" t="str">
        <f>IF(Table3[[#This Row],[Age]]&lt;30,"Young",IF(Table3[[#This Row],[Age]]&lt;=40,"Mid","Senior"))</f>
        <v>Young</v>
      </c>
      <c r="N299" t="str">
        <f>IF(Table3[[#This Row],[Experience]]&lt;3,"Junior",IF(Table3[[#This Row],[Experience]]&lt;=7,"Mid","Senior"))</f>
        <v>Mid</v>
      </c>
      <c r="O299">
        <f>YEAR(Table3[[#This Row],[Joining_Date]])</f>
        <v>2024</v>
      </c>
      <c r="P299" t="str">
        <f>IF(AND(Table3[[#This Row],[Performance]]&lt;=2,Table3[[#This Row],[Attrition]]="No"),"High Risk","Stable")</f>
        <v>Stable</v>
      </c>
    </row>
    <row r="300" spans="1:16" x14ac:dyDescent="0.25">
      <c r="A300" t="s">
        <v>361</v>
      </c>
      <c r="B300" t="s">
        <v>13</v>
      </c>
      <c r="C300" t="s">
        <v>21</v>
      </c>
      <c r="D300">
        <v>31</v>
      </c>
      <c r="E300" t="s">
        <v>15</v>
      </c>
      <c r="F300" t="s">
        <v>71</v>
      </c>
      <c r="G300">
        <v>65161</v>
      </c>
      <c r="H300">
        <v>8</v>
      </c>
      <c r="I300" s="1">
        <v>45798</v>
      </c>
      <c r="J300">
        <v>4</v>
      </c>
      <c r="K300" t="s">
        <v>17</v>
      </c>
      <c r="L300" t="s">
        <v>39</v>
      </c>
      <c r="M300" t="str">
        <f>IF(Table3[[#This Row],[Age]]&lt;30,"Young",IF(Table3[[#This Row],[Age]]&lt;=40,"Mid","Senior"))</f>
        <v>Mid</v>
      </c>
      <c r="N300" t="str">
        <f>IF(Table3[[#This Row],[Experience]]&lt;3,"Junior",IF(Table3[[#This Row],[Experience]]&lt;=7,"Mid","Senior"))</f>
        <v>Senior</v>
      </c>
      <c r="O300">
        <f>YEAR(Table3[[#This Row],[Joining_Date]])</f>
        <v>2025</v>
      </c>
      <c r="P300" t="str">
        <f>IF(AND(Table3[[#This Row],[Performance]]&lt;=2,Table3[[#This Row],[Attrition]]="No"),"High Risk","Stable")</f>
        <v>Stable</v>
      </c>
    </row>
    <row r="301" spans="1:16" x14ac:dyDescent="0.25">
      <c r="A301" t="s">
        <v>362</v>
      </c>
      <c r="B301" t="s">
        <v>33</v>
      </c>
      <c r="C301" t="s">
        <v>14</v>
      </c>
      <c r="D301">
        <v>29</v>
      </c>
      <c r="E301" t="s">
        <v>24</v>
      </c>
      <c r="F301" t="s">
        <v>124</v>
      </c>
      <c r="G301">
        <v>45321</v>
      </c>
      <c r="H301">
        <v>2</v>
      </c>
      <c r="I301" s="1">
        <v>42562</v>
      </c>
      <c r="J301">
        <v>5</v>
      </c>
      <c r="K301" t="s">
        <v>17</v>
      </c>
      <c r="L301" t="s">
        <v>31</v>
      </c>
      <c r="M301" t="str">
        <f>IF(Table3[[#This Row],[Age]]&lt;30,"Young",IF(Table3[[#This Row],[Age]]&lt;=40,"Mid","Senior"))</f>
        <v>Young</v>
      </c>
      <c r="N301" t="str">
        <f>IF(Table3[[#This Row],[Experience]]&lt;3,"Junior",IF(Table3[[#This Row],[Experience]]&lt;=7,"Mid","Senior"))</f>
        <v>Junior</v>
      </c>
      <c r="O301">
        <f>YEAR(Table3[[#This Row],[Joining_Date]])</f>
        <v>2016</v>
      </c>
      <c r="P301" t="str">
        <f>IF(AND(Table3[[#This Row],[Performance]]&lt;=2,Table3[[#This Row],[Attrition]]="No"),"High Risk","Stable")</f>
        <v>Stable</v>
      </c>
    </row>
    <row r="302" spans="1:16" x14ac:dyDescent="0.25">
      <c r="A302" t="s">
        <v>363</v>
      </c>
      <c r="B302" t="s">
        <v>54</v>
      </c>
      <c r="C302" t="s">
        <v>14</v>
      </c>
      <c r="D302">
        <v>35</v>
      </c>
      <c r="E302" t="s">
        <v>34</v>
      </c>
      <c r="F302" t="s">
        <v>52</v>
      </c>
      <c r="G302">
        <v>49280</v>
      </c>
      <c r="H302">
        <v>3</v>
      </c>
      <c r="I302" s="1">
        <v>43472</v>
      </c>
      <c r="J302">
        <v>2</v>
      </c>
      <c r="K302" t="s">
        <v>17</v>
      </c>
      <c r="L302" t="s">
        <v>31</v>
      </c>
      <c r="M302" t="str">
        <f>IF(Table3[[#This Row],[Age]]&lt;30,"Young",IF(Table3[[#This Row],[Age]]&lt;=40,"Mid","Senior"))</f>
        <v>Mid</v>
      </c>
      <c r="N302" t="str">
        <f>IF(Table3[[#This Row],[Experience]]&lt;3,"Junior",IF(Table3[[#This Row],[Experience]]&lt;=7,"Mid","Senior"))</f>
        <v>Mid</v>
      </c>
      <c r="O302">
        <f>YEAR(Table3[[#This Row],[Joining_Date]])</f>
        <v>2019</v>
      </c>
      <c r="P302" t="str">
        <f>IF(AND(Table3[[#This Row],[Performance]]&lt;=2,Table3[[#This Row],[Attrition]]="No"),"High Risk","Stable")</f>
        <v>High Risk</v>
      </c>
    </row>
    <row r="303" spans="1:16" x14ac:dyDescent="0.25">
      <c r="A303" t="s">
        <v>364</v>
      </c>
      <c r="B303" t="s">
        <v>27</v>
      </c>
      <c r="C303" t="s">
        <v>14</v>
      </c>
      <c r="D303">
        <v>23</v>
      </c>
      <c r="E303" t="s">
        <v>15</v>
      </c>
      <c r="F303" t="s">
        <v>80</v>
      </c>
      <c r="G303">
        <v>50370</v>
      </c>
      <c r="H303">
        <v>2</v>
      </c>
      <c r="I303" s="1">
        <v>42612</v>
      </c>
      <c r="J303">
        <v>1</v>
      </c>
      <c r="K303" t="s">
        <v>17</v>
      </c>
      <c r="L303" t="s">
        <v>18</v>
      </c>
      <c r="M303" t="str">
        <f>IF(Table3[[#This Row],[Age]]&lt;30,"Young",IF(Table3[[#This Row],[Age]]&lt;=40,"Mid","Senior"))</f>
        <v>Young</v>
      </c>
      <c r="N303" t="str">
        <f>IF(Table3[[#This Row],[Experience]]&lt;3,"Junior",IF(Table3[[#This Row],[Experience]]&lt;=7,"Mid","Senior"))</f>
        <v>Junior</v>
      </c>
      <c r="O303">
        <f>YEAR(Table3[[#This Row],[Joining_Date]])</f>
        <v>2016</v>
      </c>
      <c r="P303" t="str">
        <f>IF(AND(Table3[[#This Row],[Performance]]&lt;=2,Table3[[#This Row],[Attrition]]="No"),"High Risk","Stable")</f>
        <v>High Risk</v>
      </c>
    </row>
    <row r="304" spans="1:16" x14ac:dyDescent="0.25">
      <c r="A304" t="s">
        <v>365</v>
      </c>
      <c r="B304" t="s">
        <v>91</v>
      </c>
      <c r="C304" t="s">
        <v>14</v>
      </c>
      <c r="D304">
        <v>22</v>
      </c>
      <c r="E304" t="s">
        <v>15</v>
      </c>
      <c r="F304" t="s">
        <v>28</v>
      </c>
      <c r="G304">
        <v>49908</v>
      </c>
      <c r="H304">
        <v>1</v>
      </c>
      <c r="I304" s="1">
        <v>44282</v>
      </c>
      <c r="J304">
        <v>5</v>
      </c>
      <c r="K304" t="s">
        <v>17</v>
      </c>
      <c r="L304" t="s">
        <v>18</v>
      </c>
      <c r="M304" t="str">
        <f>IF(Table3[[#This Row],[Age]]&lt;30,"Young",IF(Table3[[#This Row],[Age]]&lt;=40,"Mid","Senior"))</f>
        <v>Young</v>
      </c>
      <c r="N304" t="str">
        <f>IF(Table3[[#This Row],[Experience]]&lt;3,"Junior",IF(Table3[[#This Row],[Experience]]&lt;=7,"Mid","Senior"))</f>
        <v>Junior</v>
      </c>
      <c r="O304">
        <f>YEAR(Table3[[#This Row],[Joining_Date]])</f>
        <v>2021</v>
      </c>
      <c r="P304" t="str">
        <f>IF(AND(Table3[[#This Row],[Performance]]&lt;=2,Table3[[#This Row],[Attrition]]="No"),"High Risk","Stable")</f>
        <v>Stable</v>
      </c>
    </row>
    <row r="305" spans="1:16" x14ac:dyDescent="0.25">
      <c r="A305" t="s">
        <v>366</v>
      </c>
      <c r="B305" t="s">
        <v>126</v>
      </c>
      <c r="C305" t="s">
        <v>21</v>
      </c>
      <c r="D305">
        <v>23</v>
      </c>
      <c r="E305" t="s">
        <v>15</v>
      </c>
      <c r="F305" t="s">
        <v>80</v>
      </c>
      <c r="G305">
        <v>47141</v>
      </c>
      <c r="H305">
        <v>2</v>
      </c>
      <c r="I305" s="1">
        <v>42816</v>
      </c>
      <c r="J305">
        <v>4</v>
      </c>
      <c r="K305" t="s">
        <v>17</v>
      </c>
      <c r="L305" t="s">
        <v>39</v>
      </c>
      <c r="M305" t="str">
        <f>IF(Table3[[#This Row],[Age]]&lt;30,"Young",IF(Table3[[#This Row],[Age]]&lt;=40,"Mid","Senior"))</f>
        <v>Young</v>
      </c>
      <c r="N305" t="str">
        <f>IF(Table3[[#This Row],[Experience]]&lt;3,"Junior",IF(Table3[[#This Row],[Experience]]&lt;=7,"Mid","Senior"))</f>
        <v>Junior</v>
      </c>
      <c r="O305">
        <f>YEAR(Table3[[#This Row],[Joining_Date]])</f>
        <v>2017</v>
      </c>
      <c r="P305" t="str">
        <f>IF(AND(Table3[[#This Row],[Performance]]&lt;=2,Table3[[#This Row],[Attrition]]="No"),"High Risk","Stable")</f>
        <v>Stable</v>
      </c>
    </row>
    <row r="306" spans="1:16" x14ac:dyDescent="0.25">
      <c r="A306" t="s">
        <v>367</v>
      </c>
      <c r="B306" t="s">
        <v>60</v>
      </c>
      <c r="C306" t="s">
        <v>14</v>
      </c>
      <c r="D306">
        <v>22</v>
      </c>
      <c r="E306" t="s">
        <v>15</v>
      </c>
      <c r="F306" t="s">
        <v>30</v>
      </c>
      <c r="G306">
        <v>45739</v>
      </c>
      <c r="H306">
        <v>1</v>
      </c>
      <c r="I306" s="1">
        <v>45701</v>
      </c>
      <c r="J306">
        <v>4</v>
      </c>
      <c r="K306" t="s">
        <v>17</v>
      </c>
      <c r="L306" t="s">
        <v>31</v>
      </c>
      <c r="M306" t="str">
        <f>IF(Table3[[#This Row],[Age]]&lt;30,"Young",IF(Table3[[#This Row],[Age]]&lt;=40,"Mid","Senior"))</f>
        <v>Young</v>
      </c>
      <c r="N306" t="str">
        <f>IF(Table3[[#This Row],[Experience]]&lt;3,"Junior",IF(Table3[[#This Row],[Experience]]&lt;=7,"Mid","Senior"))</f>
        <v>Junior</v>
      </c>
      <c r="O306">
        <f>YEAR(Table3[[#This Row],[Joining_Date]])</f>
        <v>2025</v>
      </c>
      <c r="P306" t="str">
        <f>IF(AND(Table3[[#This Row],[Performance]]&lt;=2,Table3[[#This Row],[Attrition]]="No"),"High Risk","Stable")</f>
        <v>Stable</v>
      </c>
    </row>
    <row r="307" spans="1:16" x14ac:dyDescent="0.25">
      <c r="A307" t="s">
        <v>368</v>
      </c>
      <c r="B307" t="s">
        <v>101</v>
      </c>
      <c r="C307" t="s">
        <v>21</v>
      </c>
      <c r="D307">
        <v>23</v>
      </c>
      <c r="E307" t="s">
        <v>24</v>
      </c>
      <c r="F307" t="s">
        <v>25</v>
      </c>
      <c r="G307">
        <v>51402</v>
      </c>
      <c r="H307">
        <v>2</v>
      </c>
      <c r="I307" s="1">
        <v>43779</v>
      </c>
      <c r="J307">
        <v>4</v>
      </c>
      <c r="K307" t="s">
        <v>17</v>
      </c>
      <c r="L307" t="s">
        <v>18</v>
      </c>
      <c r="M307" t="str">
        <f>IF(Table3[[#This Row],[Age]]&lt;30,"Young",IF(Table3[[#This Row],[Age]]&lt;=40,"Mid","Senior"))</f>
        <v>Young</v>
      </c>
      <c r="N307" t="str">
        <f>IF(Table3[[#This Row],[Experience]]&lt;3,"Junior",IF(Table3[[#This Row],[Experience]]&lt;=7,"Mid","Senior"))</f>
        <v>Junior</v>
      </c>
      <c r="O307">
        <f>YEAR(Table3[[#This Row],[Joining_Date]])</f>
        <v>2019</v>
      </c>
      <c r="P307" t="str">
        <f>IF(AND(Table3[[#This Row],[Performance]]&lt;=2,Table3[[#This Row],[Attrition]]="No"),"High Risk","Stable")</f>
        <v>Stable</v>
      </c>
    </row>
    <row r="308" spans="1:16" x14ac:dyDescent="0.25">
      <c r="A308" t="s">
        <v>369</v>
      </c>
      <c r="B308" t="s">
        <v>20</v>
      </c>
      <c r="C308" t="s">
        <v>14</v>
      </c>
      <c r="D308">
        <v>27</v>
      </c>
      <c r="E308" t="s">
        <v>67</v>
      </c>
      <c r="F308" t="s">
        <v>68</v>
      </c>
      <c r="G308">
        <v>54585</v>
      </c>
      <c r="H308">
        <v>6</v>
      </c>
      <c r="I308" s="1">
        <v>43831</v>
      </c>
      <c r="J308">
        <v>2</v>
      </c>
      <c r="K308" t="s">
        <v>42</v>
      </c>
      <c r="L308" t="s">
        <v>43</v>
      </c>
      <c r="M308" t="str">
        <f>IF(Table3[[#This Row],[Age]]&lt;30,"Young",IF(Table3[[#This Row],[Age]]&lt;=40,"Mid","Senior"))</f>
        <v>Young</v>
      </c>
      <c r="N308" t="str">
        <f>IF(Table3[[#This Row],[Experience]]&lt;3,"Junior",IF(Table3[[#This Row],[Experience]]&lt;=7,"Mid","Senior"))</f>
        <v>Mid</v>
      </c>
      <c r="O308">
        <f>YEAR(Table3[[#This Row],[Joining_Date]])</f>
        <v>2020</v>
      </c>
      <c r="P308" t="str">
        <f>IF(AND(Table3[[#This Row],[Performance]]&lt;=2,Table3[[#This Row],[Attrition]]="No"),"High Risk","Stable")</f>
        <v>Stable</v>
      </c>
    </row>
    <row r="309" spans="1:16" x14ac:dyDescent="0.25">
      <c r="A309" t="s">
        <v>370</v>
      </c>
      <c r="B309" t="s">
        <v>23</v>
      </c>
      <c r="C309" t="s">
        <v>14</v>
      </c>
      <c r="D309">
        <v>39</v>
      </c>
      <c r="E309" t="s">
        <v>34</v>
      </c>
      <c r="F309" t="s">
        <v>41</v>
      </c>
      <c r="G309">
        <v>71499</v>
      </c>
      <c r="H309">
        <v>15</v>
      </c>
      <c r="I309" s="1">
        <v>42364</v>
      </c>
      <c r="J309">
        <v>3</v>
      </c>
      <c r="K309" t="s">
        <v>17</v>
      </c>
      <c r="L309" t="s">
        <v>18</v>
      </c>
      <c r="M309" t="str">
        <f>IF(Table3[[#This Row],[Age]]&lt;30,"Young",IF(Table3[[#This Row],[Age]]&lt;=40,"Mid","Senior"))</f>
        <v>Mid</v>
      </c>
      <c r="N309" t="str">
        <f>IF(Table3[[#This Row],[Experience]]&lt;3,"Junior",IF(Table3[[#This Row],[Experience]]&lt;=7,"Mid","Senior"))</f>
        <v>Senior</v>
      </c>
      <c r="O309">
        <f>YEAR(Table3[[#This Row],[Joining_Date]])</f>
        <v>2015</v>
      </c>
      <c r="P309" t="str">
        <f>IF(AND(Table3[[#This Row],[Performance]]&lt;=2,Table3[[#This Row],[Attrition]]="No"),"High Risk","Stable")</f>
        <v>Stable</v>
      </c>
    </row>
    <row r="310" spans="1:16" x14ac:dyDescent="0.25">
      <c r="A310" t="s">
        <v>371</v>
      </c>
      <c r="B310" t="s">
        <v>45</v>
      </c>
      <c r="C310" t="s">
        <v>21</v>
      </c>
      <c r="D310">
        <v>44</v>
      </c>
      <c r="E310" t="s">
        <v>34</v>
      </c>
      <c r="F310" t="s">
        <v>74</v>
      </c>
      <c r="G310">
        <v>68359</v>
      </c>
      <c r="H310">
        <v>11</v>
      </c>
      <c r="I310" s="1">
        <v>44235</v>
      </c>
      <c r="J310">
        <v>4</v>
      </c>
      <c r="K310" t="s">
        <v>17</v>
      </c>
      <c r="L310" t="s">
        <v>43</v>
      </c>
      <c r="M310" t="str">
        <f>IF(Table3[[#This Row],[Age]]&lt;30,"Young",IF(Table3[[#This Row],[Age]]&lt;=40,"Mid","Senior"))</f>
        <v>Senior</v>
      </c>
      <c r="N310" t="str">
        <f>IF(Table3[[#This Row],[Experience]]&lt;3,"Junior",IF(Table3[[#This Row],[Experience]]&lt;=7,"Mid","Senior"))</f>
        <v>Senior</v>
      </c>
      <c r="O310">
        <f>YEAR(Table3[[#This Row],[Joining_Date]])</f>
        <v>2021</v>
      </c>
      <c r="P310" t="str">
        <f>IF(AND(Table3[[#This Row],[Performance]]&lt;=2,Table3[[#This Row],[Attrition]]="No"),"High Risk","Stable")</f>
        <v>Stable</v>
      </c>
    </row>
    <row r="311" spans="1:16" x14ac:dyDescent="0.25">
      <c r="A311" t="s">
        <v>372</v>
      </c>
      <c r="B311" t="s">
        <v>91</v>
      </c>
      <c r="C311" t="s">
        <v>14</v>
      </c>
      <c r="D311">
        <v>22</v>
      </c>
      <c r="E311" t="s">
        <v>24</v>
      </c>
      <c r="F311" t="s">
        <v>49</v>
      </c>
      <c r="G311">
        <v>49283</v>
      </c>
      <c r="H311">
        <v>1</v>
      </c>
      <c r="I311" s="1">
        <v>42902</v>
      </c>
      <c r="J311">
        <v>1</v>
      </c>
      <c r="K311" t="s">
        <v>17</v>
      </c>
      <c r="L311" t="s">
        <v>31</v>
      </c>
      <c r="M311" t="str">
        <f>IF(Table3[[#This Row],[Age]]&lt;30,"Young",IF(Table3[[#This Row],[Age]]&lt;=40,"Mid","Senior"))</f>
        <v>Young</v>
      </c>
      <c r="N311" t="str">
        <f>IF(Table3[[#This Row],[Experience]]&lt;3,"Junior",IF(Table3[[#This Row],[Experience]]&lt;=7,"Mid","Senior"))</f>
        <v>Junior</v>
      </c>
      <c r="O311">
        <f>YEAR(Table3[[#This Row],[Joining_Date]])</f>
        <v>2017</v>
      </c>
      <c r="P311" t="str">
        <f>IF(AND(Table3[[#This Row],[Performance]]&lt;=2,Table3[[#This Row],[Attrition]]="No"),"High Risk","Stable")</f>
        <v>High Risk</v>
      </c>
    </row>
    <row r="312" spans="1:16" x14ac:dyDescent="0.25">
      <c r="A312" t="s">
        <v>373</v>
      </c>
      <c r="B312" t="s">
        <v>91</v>
      </c>
      <c r="C312" t="s">
        <v>21</v>
      </c>
      <c r="D312">
        <v>25</v>
      </c>
      <c r="E312" t="s">
        <v>67</v>
      </c>
      <c r="F312" t="s">
        <v>76</v>
      </c>
      <c r="G312">
        <v>55762</v>
      </c>
      <c r="H312">
        <v>4</v>
      </c>
      <c r="I312" s="1">
        <v>42992</v>
      </c>
      <c r="J312">
        <v>3</v>
      </c>
      <c r="K312" t="s">
        <v>17</v>
      </c>
      <c r="L312" t="s">
        <v>39</v>
      </c>
      <c r="M312" t="str">
        <f>IF(Table3[[#This Row],[Age]]&lt;30,"Young",IF(Table3[[#This Row],[Age]]&lt;=40,"Mid","Senior"))</f>
        <v>Young</v>
      </c>
      <c r="N312" t="str">
        <f>IF(Table3[[#This Row],[Experience]]&lt;3,"Junior",IF(Table3[[#This Row],[Experience]]&lt;=7,"Mid","Senior"))</f>
        <v>Mid</v>
      </c>
      <c r="O312">
        <f>YEAR(Table3[[#This Row],[Joining_Date]])</f>
        <v>2017</v>
      </c>
      <c r="P312" t="str">
        <f>IF(AND(Table3[[#This Row],[Performance]]&lt;=2,Table3[[#This Row],[Attrition]]="No"),"High Risk","Stable")</f>
        <v>Stable</v>
      </c>
    </row>
    <row r="313" spans="1:16" x14ac:dyDescent="0.25">
      <c r="A313" t="s">
        <v>374</v>
      </c>
      <c r="B313" t="s">
        <v>48</v>
      </c>
      <c r="C313" t="s">
        <v>14</v>
      </c>
      <c r="D313">
        <v>27</v>
      </c>
      <c r="E313" t="s">
        <v>15</v>
      </c>
      <c r="F313" t="s">
        <v>80</v>
      </c>
      <c r="G313">
        <v>56375</v>
      </c>
      <c r="H313">
        <v>5</v>
      </c>
      <c r="I313" s="1">
        <v>44431</v>
      </c>
      <c r="J313">
        <v>3</v>
      </c>
      <c r="K313" t="s">
        <v>17</v>
      </c>
      <c r="L313" t="s">
        <v>39</v>
      </c>
      <c r="M313" t="str">
        <f>IF(Table3[[#This Row],[Age]]&lt;30,"Young",IF(Table3[[#This Row],[Age]]&lt;=40,"Mid","Senior"))</f>
        <v>Young</v>
      </c>
      <c r="N313" t="str">
        <f>IF(Table3[[#This Row],[Experience]]&lt;3,"Junior",IF(Table3[[#This Row],[Experience]]&lt;=7,"Mid","Senior"))</f>
        <v>Mid</v>
      </c>
      <c r="O313">
        <f>YEAR(Table3[[#This Row],[Joining_Date]])</f>
        <v>2021</v>
      </c>
      <c r="P313" t="str">
        <f>IF(AND(Table3[[#This Row],[Performance]]&lt;=2,Table3[[#This Row],[Attrition]]="No"),"High Risk","Stable")</f>
        <v>Stable</v>
      </c>
    </row>
    <row r="314" spans="1:16" x14ac:dyDescent="0.25">
      <c r="A314" t="s">
        <v>375</v>
      </c>
      <c r="B314" t="s">
        <v>66</v>
      </c>
      <c r="C314" t="s">
        <v>14</v>
      </c>
      <c r="D314">
        <v>40</v>
      </c>
      <c r="E314" t="s">
        <v>24</v>
      </c>
      <c r="F314" t="s">
        <v>25</v>
      </c>
      <c r="G314">
        <v>56225</v>
      </c>
      <c r="H314">
        <v>4</v>
      </c>
      <c r="I314" s="1">
        <v>45889</v>
      </c>
      <c r="J314">
        <v>2</v>
      </c>
      <c r="K314" t="s">
        <v>17</v>
      </c>
      <c r="L314" t="s">
        <v>18</v>
      </c>
      <c r="M314" t="str">
        <f>IF(Table3[[#This Row],[Age]]&lt;30,"Young",IF(Table3[[#This Row],[Age]]&lt;=40,"Mid","Senior"))</f>
        <v>Mid</v>
      </c>
      <c r="N314" t="str">
        <f>IF(Table3[[#This Row],[Experience]]&lt;3,"Junior",IF(Table3[[#This Row],[Experience]]&lt;=7,"Mid","Senior"))</f>
        <v>Mid</v>
      </c>
      <c r="O314">
        <f>YEAR(Table3[[#This Row],[Joining_Date]])</f>
        <v>2025</v>
      </c>
      <c r="P314" t="str">
        <f>IF(AND(Table3[[#This Row],[Performance]]&lt;=2,Table3[[#This Row],[Attrition]]="No"),"High Risk","Stable")</f>
        <v>High Risk</v>
      </c>
    </row>
    <row r="315" spans="1:16" x14ac:dyDescent="0.25">
      <c r="A315" t="s">
        <v>376</v>
      </c>
      <c r="B315" t="s">
        <v>78</v>
      </c>
      <c r="C315" t="s">
        <v>14</v>
      </c>
      <c r="D315">
        <v>24</v>
      </c>
      <c r="E315" t="s">
        <v>24</v>
      </c>
      <c r="F315" t="s">
        <v>46</v>
      </c>
      <c r="G315">
        <v>43311</v>
      </c>
      <c r="H315">
        <v>1</v>
      </c>
      <c r="I315" s="1">
        <v>44469</v>
      </c>
      <c r="J315">
        <v>2</v>
      </c>
      <c r="K315" t="s">
        <v>42</v>
      </c>
      <c r="L315" t="s">
        <v>18</v>
      </c>
      <c r="M315" t="str">
        <f>IF(Table3[[#This Row],[Age]]&lt;30,"Young",IF(Table3[[#This Row],[Age]]&lt;=40,"Mid","Senior"))</f>
        <v>Young</v>
      </c>
      <c r="N315" t="str">
        <f>IF(Table3[[#This Row],[Experience]]&lt;3,"Junior",IF(Table3[[#This Row],[Experience]]&lt;=7,"Mid","Senior"))</f>
        <v>Junior</v>
      </c>
      <c r="O315">
        <f>YEAR(Table3[[#This Row],[Joining_Date]])</f>
        <v>2021</v>
      </c>
      <c r="P315" t="str">
        <f>IF(AND(Table3[[#This Row],[Performance]]&lt;=2,Table3[[#This Row],[Attrition]]="No"),"High Risk","Stable")</f>
        <v>Stable</v>
      </c>
    </row>
    <row r="316" spans="1:16" x14ac:dyDescent="0.25">
      <c r="A316" t="s">
        <v>377</v>
      </c>
      <c r="B316" t="s">
        <v>88</v>
      </c>
      <c r="C316" t="s">
        <v>21</v>
      </c>
      <c r="D316">
        <v>32</v>
      </c>
      <c r="E316" t="s">
        <v>15</v>
      </c>
      <c r="F316" t="s">
        <v>28</v>
      </c>
      <c r="G316">
        <v>57801</v>
      </c>
      <c r="H316">
        <v>5</v>
      </c>
      <c r="I316" s="1">
        <v>42248</v>
      </c>
      <c r="J316">
        <v>1</v>
      </c>
      <c r="K316" t="s">
        <v>42</v>
      </c>
      <c r="L316" t="s">
        <v>39</v>
      </c>
      <c r="M316" t="str">
        <f>IF(Table3[[#This Row],[Age]]&lt;30,"Young",IF(Table3[[#This Row],[Age]]&lt;=40,"Mid","Senior"))</f>
        <v>Mid</v>
      </c>
      <c r="N316" t="str">
        <f>IF(Table3[[#This Row],[Experience]]&lt;3,"Junior",IF(Table3[[#This Row],[Experience]]&lt;=7,"Mid","Senior"))</f>
        <v>Mid</v>
      </c>
      <c r="O316">
        <f>YEAR(Table3[[#This Row],[Joining_Date]])</f>
        <v>2015</v>
      </c>
      <c r="P316" t="str">
        <f>IF(AND(Table3[[#This Row],[Performance]]&lt;=2,Table3[[#This Row],[Attrition]]="No"),"High Risk","Stable")</f>
        <v>Stable</v>
      </c>
    </row>
    <row r="317" spans="1:16" x14ac:dyDescent="0.25">
      <c r="A317" t="s">
        <v>378</v>
      </c>
      <c r="B317" t="s">
        <v>60</v>
      </c>
      <c r="C317" t="s">
        <v>14</v>
      </c>
      <c r="D317">
        <v>33</v>
      </c>
      <c r="E317" t="s">
        <v>34</v>
      </c>
      <c r="F317" t="s">
        <v>35</v>
      </c>
      <c r="G317">
        <v>72601</v>
      </c>
      <c r="H317">
        <v>12</v>
      </c>
      <c r="I317" s="1">
        <v>42418</v>
      </c>
      <c r="J317">
        <v>3</v>
      </c>
      <c r="K317" t="s">
        <v>17</v>
      </c>
      <c r="L317" t="s">
        <v>50</v>
      </c>
      <c r="M317" t="str">
        <f>IF(Table3[[#This Row],[Age]]&lt;30,"Young",IF(Table3[[#This Row],[Age]]&lt;=40,"Mid","Senior"))</f>
        <v>Mid</v>
      </c>
      <c r="N317" t="str">
        <f>IF(Table3[[#This Row],[Experience]]&lt;3,"Junior",IF(Table3[[#This Row],[Experience]]&lt;=7,"Mid","Senior"))</f>
        <v>Senior</v>
      </c>
      <c r="O317">
        <f>YEAR(Table3[[#This Row],[Joining_Date]])</f>
        <v>2016</v>
      </c>
      <c r="P317" t="str">
        <f>IF(AND(Table3[[#This Row],[Performance]]&lt;=2,Table3[[#This Row],[Attrition]]="No"),"High Risk","Stable")</f>
        <v>Stable</v>
      </c>
    </row>
    <row r="318" spans="1:16" x14ac:dyDescent="0.25">
      <c r="A318" t="s">
        <v>379</v>
      </c>
      <c r="B318" t="s">
        <v>54</v>
      </c>
      <c r="C318" t="s">
        <v>14</v>
      </c>
      <c r="D318">
        <v>27</v>
      </c>
      <c r="E318" t="s">
        <v>34</v>
      </c>
      <c r="F318" t="s">
        <v>52</v>
      </c>
      <c r="G318">
        <v>51657</v>
      </c>
      <c r="H318">
        <v>6</v>
      </c>
      <c r="I318" s="1">
        <v>44731</v>
      </c>
      <c r="J318">
        <v>5</v>
      </c>
      <c r="K318" t="s">
        <v>17</v>
      </c>
      <c r="L318" t="s">
        <v>18</v>
      </c>
      <c r="M318" t="str">
        <f>IF(Table3[[#This Row],[Age]]&lt;30,"Young",IF(Table3[[#This Row],[Age]]&lt;=40,"Mid","Senior"))</f>
        <v>Young</v>
      </c>
      <c r="N318" t="str">
        <f>IF(Table3[[#This Row],[Experience]]&lt;3,"Junior",IF(Table3[[#This Row],[Experience]]&lt;=7,"Mid","Senior"))</f>
        <v>Mid</v>
      </c>
      <c r="O318">
        <f>YEAR(Table3[[#This Row],[Joining_Date]])</f>
        <v>2022</v>
      </c>
      <c r="P318" t="str">
        <f>IF(AND(Table3[[#This Row],[Performance]]&lt;=2,Table3[[#This Row],[Attrition]]="No"),"High Risk","Stable")</f>
        <v>Stable</v>
      </c>
    </row>
    <row r="319" spans="1:16" x14ac:dyDescent="0.25">
      <c r="A319" t="s">
        <v>380</v>
      </c>
      <c r="B319" t="s">
        <v>91</v>
      </c>
      <c r="C319" t="s">
        <v>21</v>
      </c>
      <c r="D319">
        <v>45</v>
      </c>
      <c r="E319" t="s">
        <v>24</v>
      </c>
      <c r="F319" t="s">
        <v>124</v>
      </c>
      <c r="G319">
        <v>48501</v>
      </c>
      <c r="H319">
        <v>0</v>
      </c>
      <c r="I319" s="1">
        <v>45890</v>
      </c>
      <c r="J319">
        <v>5</v>
      </c>
      <c r="K319" t="s">
        <v>17</v>
      </c>
      <c r="L319" t="s">
        <v>43</v>
      </c>
      <c r="M319" t="str">
        <f>IF(Table3[[#This Row],[Age]]&lt;30,"Young",IF(Table3[[#This Row],[Age]]&lt;=40,"Mid","Senior"))</f>
        <v>Senior</v>
      </c>
      <c r="N319" t="str">
        <f>IF(Table3[[#This Row],[Experience]]&lt;3,"Junior",IF(Table3[[#This Row],[Experience]]&lt;=7,"Mid","Senior"))</f>
        <v>Junior</v>
      </c>
      <c r="O319">
        <f>YEAR(Table3[[#This Row],[Joining_Date]])</f>
        <v>2025</v>
      </c>
      <c r="P319" t="str">
        <f>IF(AND(Table3[[#This Row],[Performance]]&lt;=2,Table3[[#This Row],[Attrition]]="No"),"High Risk","Stable")</f>
        <v>Stable</v>
      </c>
    </row>
    <row r="320" spans="1:16" x14ac:dyDescent="0.25">
      <c r="A320" t="s">
        <v>381</v>
      </c>
      <c r="B320" t="s">
        <v>27</v>
      </c>
      <c r="C320" t="s">
        <v>14</v>
      </c>
      <c r="D320">
        <v>29</v>
      </c>
      <c r="E320" t="s">
        <v>15</v>
      </c>
      <c r="F320" t="s">
        <v>80</v>
      </c>
      <c r="G320">
        <v>55629</v>
      </c>
      <c r="H320">
        <v>3</v>
      </c>
      <c r="I320" s="1">
        <v>42581</v>
      </c>
      <c r="J320">
        <v>3</v>
      </c>
      <c r="K320" t="s">
        <v>17</v>
      </c>
      <c r="L320" t="s">
        <v>50</v>
      </c>
      <c r="M320" t="str">
        <f>IF(Table3[[#This Row],[Age]]&lt;30,"Young",IF(Table3[[#This Row],[Age]]&lt;=40,"Mid","Senior"))</f>
        <v>Young</v>
      </c>
      <c r="N320" t="str">
        <f>IF(Table3[[#This Row],[Experience]]&lt;3,"Junior",IF(Table3[[#This Row],[Experience]]&lt;=7,"Mid","Senior"))</f>
        <v>Mid</v>
      </c>
      <c r="O320">
        <f>YEAR(Table3[[#This Row],[Joining_Date]])</f>
        <v>2016</v>
      </c>
      <c r="P320" t="str">
        <f>IF(AND(Table3[[#This Row],[Performance]]&lt;=2,Table3[[#This Row],[Attrition]]="No"),"High Risk","Stable")</f>
        <v>Stable</v>
      </c>
    </row>
    <row r="321" spans="1:16" x14ac:dyDescent="0.25">
      <c r="A321" t="s">
        <v>382</v>
      </c>
      <c r="B321" t="s">
        <v>60</v>
      </c>
      <c r="C321" t="s">
        <v>21</v>
      </c>
      <c r="D321">
        <v>44</v>
      </c>
      <c r="E321" t="s">
        <v>24</v>
      </c>
      <c r="F321" t="s">
        <v>124</v>
      </c>
      <c r="G321">
        <v>69317</v>
      </c>
      <c r="H321">
        <v>10</v>
      </c>
      <c r="I321" s="1">
        <v>42051</v>
      </c>
      <c r="J321">
        <v>3</v>
      </c>
      <c r="K321" t="s">
        <v>17</v>
      </c>
      <c r="L321" t="s">
        <v>39</v>
      </c>
      <c r="M321" t="str">
        <f>IF(Table3[[#This Row],[Age]]&lt;30,"Young",IF(Table3[[#This Row],[Age]]&lt;=40,"Mid","Senior"))</f>
        <v>Senior</v>
      </c>
      <c r="N321" t="str">
        <f>IF(Table3[[#This Row],[Experience]]&lt;3,"Junior",IF(Table3[[#This Row],[Experience]]&lt;=7,"Mid","Senior"))</f>
        <v>Senior</v>
      </c>
      <c r="O321">
        <f>YEAR(Table3[[#This Row],[Joining_Date]])</f>
        <v>2015</v>
      </c>
      <c r="P321" t="str">
        <f>IF(AND(Table3[[#This Row],[Performance]]&lt;=2,Table3[[#This Row],[Attrition]]="No"),"High Risk","Stable")</f>
        <v>Stable</v>
      </c>
    </row>
    <row r="322" spans="1:16" x14ac:dyDescent="0.25">
      <c r="A322" t="s">
        <v>383</v>
      </c>
      <c r="B322" t="s">
        <v>63</v>
      </c>
      <c r="C322" t="s">
        <v>14</v>
      </c>
      <c r="D322">
        <v>45</v>
      </c>
      <c r="E322" t="s">
        <v>15</v>
      </c>
      <c r="F322" t="s">
        <v>28</v>
      </c>
      <c r="G322">
        <v>40788</v>
      </c>
      <c r="H322">
        <v>0</v>
      </c>
      <c r="I322" s="1">
        <v>43585</v>
      </c>
      <c r="J322">
        <v>4</v>
      </c>
      <c r="K322" t="s">
        <v>17</v>
      </c>
      <c r="L322" t="s">
        <v>50</v>
      </c>
      <c r="M322" t="str">
        <f>IF(Table3[[#This Row],[Age]]&lt;30,"Young",IF(Table3[[#This Row],[Age]]&lt;=40,"Mid","Senior"))</f>
        <v>Senior</v>
      </c>
      <c r="N322" t="str">
        <f>IF(Table3[[#This Row],[Experience]]&lt;3,"Junior",IF(Table3[[#This Row],[Experience]]&lt;=7,"Mid","Senior"))</f>
        <v>Junior</v>
      </c>
      <c r="O322">
        <f>YEAR(Table3[[#This Row],[Joining_Date]])</f>
        <v>2019</v>
      </c>
      <c r="P322" t="str">
        <f>IF(AND(Table3[[#This Row],[Performance]]&lt;=2,Table3[[#This Row],[Attrition]]="No"),"High Risk","Stable")</f>
        <v>Stable</v>
      </c>
    </row>
    <row r="323" spans="1:16" x14ac:dyDescent="0.25">
      <c r="A323" t="s">
        <v>384</v>
      </c>
      <c r="B323" t="s">
        <v>48</v>
      </c>
      <c r="C323" t="s">
        <v>14</v>
      </c>
      <c r="D323">
        <v>39</v>
      </c>
      <c r="E323" t="s">
        <v>67</v>
      </c>
      <c r="F323" t="s">
        <v>110</v>
      </c>
      <c r="G323">
        <v>66661</v>
      </c>
      <c r="H323">
        <v>12</v>
      </c>
      <c r="I323" s="1">
        <v>45399</v>
      </c>
      <c r="J323">
        <v>4</v>
      </c>
      <c r="K323" t="s">
        <v>17</v>
      </c>
      <c r="L323" t="s">
        <v>43</v>
      </c>
      <c r="M323" t="str">
        <f>IF(Table3[[#This Row],[Age]]&lt;30,"Young",IF(Table3[[#This Row],[Age]]&lt;=40,"Mid","Senior"))</f>
        <v>Mid</v>
      </c>
      <c r="N323" t="str">
        <f>IF(Table3[[#This Row],[Experience]]&lt;3,"Junior",IF(Table3[[#This Row],[Experience]]&lt;=7,"Mid","Senior"))</f>
        <v>Senior</v>
      </c>
      <c r="O323">
        <f>YEAR(Table3[[#This Row],[Joining_Date]])</f>
        <v>2024</v>
      </c>
      <c r="P323" t="str">
        <f>IF(AND(Table3[[#This Row],[Performance]]&lt;=2,Table3[[#This Row],[Attrition]]="No"),"High Risk","Stable")</f>
        <v>Stable</v>
      </c>
    </row>
    <row r="324" spans="1:16" x14ac:dyDescent="0.25">
      <c r="A324" t="s">
        <v>385</v>
      </c>
      <c r="B324" t="s">
        <v>60</v>
      </c>
      <c r="C324" t="s">
        <v>14</v>
      </c>
      <c r="D324">
        <v>23</v>
      </c>
      <c r="E324" t="s">
        <v>34</v>
      </c>
      <c r="F324" t="s">
        <v>74</v>
      </c>
      <c r="G324">
        <v>38328</v>
      </c>
      <c r="H324">
        <v>2</v>
      </c>
      <c r="I324" s="1">
        <v>43310</v>
      </c>
      <c r="J324">
        <v>3</v>
      </c>
      <c r="K324" t="s">
        <v>17</v>
      </c>
      <c r="L324" t="s">
        <v>31</v>
      </c>
      <c r="M324" t="str">
        <f>IF(Table3[[#This Row],[Age]]&lt;30,"Young",IF(Table3[[#This Row],[Age]]&lt;=40,"Mid","Senior"))</f>
        <v>Young</v>
      </c>
      <c r="N324" t="str">
        <f>IF(Table3[[#This Row],[Experience]]&lt;3,"Junior",IF(Table3[[#This Row],[Experience]]&lt;=7,"Mid","Senior"))</f>
        <v>Junior</v>
      </c>
      <c r="O324">
        <f>YEAR(Table3[[#This Row],[Joining_Date]])</f>
        <v>2018</v>
      </c>
      <c r="P324" t="str">
        <f>IF(AND(Table3[[#This Row],[Performance]]&lt;=2,Table3[[#This Row],[Attrition]]="No"),"High Risk","Stable")</f>
        <v>Stable</v>
      </c>
    </row>
    <row r="325" spans="1:16" x14ac:dyDescent="0.25">
      <c r="A325" t="s">
        <v>386</v>
      </c>
      <c r="B325" t="s">
        <v>91</v>
      </c>
      <c r="C325" t="s">
        <v>14</v>
      </c>
      <c r="D325">
        <v>45</v>
      </c>
      <c r="E325" t="s">
        <v>24</v>
      </c>
      <c r="F325" t="s">
        <v>46</v>
      </c>
      <c r="G325">
        <v>50962</v>
      </c>
      <c r="H325">
        <v>2</v>
      </c>
      <c r="I325" s="1">
        <v>45862</v>
      </c>
      <c r="J325">
        <v>1</v>
      </c>
      <c r="K325" t="s">
        <v>42</v>
      </c>
      <c r="L325" t="s">
        <v>43</v>
      </c>
      <c r="M325" t="str">
        <f>IF(Table3[[#This Row],[Age]]&lt;30,"Young",IF(Table3[[#This Row],[Age]]&lt;=40,"Mid","Senior"))</f>
        <v>Senior</v>
      </c>
      <c r="N325" t="str">
        <f>IF(Table3[[#This Row],[Experience]]&lt;3,"Junior",IF(Table3[[#This Row],[Experience]]&lt;=7,"Mid","Senior"))</f>
        <v>Junior</v>
      </c>
      <c r="O325">
        <f>YEAR(Table3[[#This Row],[Joining_Date]])</f>
        <v>2025</v>
      </c>
      <c r="P325" t="str">
        <f>IF(AND(Table3[[#This Row],[Performance]]&lt;=2,Table3[[#This Row],[Attrition]]="No"),"High Risk","Stable")</f>
        <v>Stable</v>
      </c>
    </row>
    <row r="326" spans="1:16" x14ac:dyDescent="0.25">
      <c r="A326" t="s">
        <v>387</v>
      </c>
      <c r="B326" t="s">
        <v>91</v>
      </c>
      <c r="C326" t="s">
        <v>14</v>
      </c>
      <c r="D326">
        <v>41</v>
      </c>
      <c r="E326" t="s">
        <v>67</v>
      </c>
      <c r="F326" t="s">
        <v>97</v>
      </c>
      <c r="G326">
        <v>70073</v>
      </c>
      <c r="H326">
        <v>13</v>
      </c>
      <c r="I326" s="1">
        <v>42224</v>
      </c>
      <c r="J326">
        <v>1</v>
      </c>
      <c r="K326" t="s">
        <v>42</v>
      </c>
      <c r="L326" t="s">
        <v>50</v>
      </c>
      <c r="M326" t="str">
        <f>IF(Table3[[#This Row],[Age]]&lt;30,"Young",IF(Table3[[#This Row],[Age]]&lt;=40,"Mid","Senior"))</f>
        <v>Senior</v>
      </c>
      <c r="N326" t="str">
        <f>IF(Table3[[#This Row],[Experience]]&lt;3,"Junior",IF(Table3[[#This Row],[Experience]]&lt;=7,"Mid","Senior"))</f>
        <v>Senior</v>
      </c>
      <c r="O326">
        <f>YEAR(Table3[[#This Row],[Joining_Date]])</f>
        <v>2015</v>
      </c>
      <c r="P326" t="str">
        <f>IF(AND(Table3[[#This Row],[Performance]]&lt;=2,Table3[[#This Row],[Attrition]]="No"),"High Risk","Stable")</f>
        <v>Stable</v>
      </c>
    </row>
    <row r="327" spans="1:16" x14ac:dyDescent="0.25">
      <c r="A327" t="s">
        <v>388</v>
      </c>
      <c r="B327" t="s">
        <v>56</v>
      </c>
      <c r="C327" t="s">
        <v>14</v>
      </c>
      <c r="D327">
        <v>29</v>
      </c>
      <c r="E327" t="s">
        <v>67</v>
      </c>
      <c r="F327" t="s">
        <v>76</v>
      </c>
      <c r="G327">
        <v>43313</v>
      </c>
      <c r="H327">
        <v>3</v>
      </c>
      <c r="I327" s="1">
        <v>43614</v>
      </c>
      <c r="J327">
        <v>5</v>
      </c>
      <c r="K327" t="s">
        <v>17</v>
      </c>
      <c r="L327" t="s">
        <v>18</v>
      </c>
      <c r="M327" t="str">
        <f>IF(Table3[[#This Row],[Age]]&lt;30,"Young",IF(Table3[[#This Row],[Age]]&lt;=40,"Mid","Senior"))</f>
        <v>Young</v>
      </c>
      <c r="N327" t="str">
        <f>IF(Table3[[#This Row],[Experience]]&lt;3,"Junior",IF(Table3[[#This Row],[Experience]]&lt;=7,"Mid","Senior"))</f>
        <v>Mid</v>
      </c>
      <c r="O327">
        <f>YEAR(Table3[[#This Row],[Joining_Date]])</f>
        <v>2019</v>
      </c>
      <c r="P327" t="str">
        <f>IF(AND(Table3[[#This Row],[Performance]]&lt;=2,Table3[[#This Row],[Attrition]]="No"),"High Risk","Stable")</f>
        <v>Stable</v>
      </c>
    </row>
    <row r="328" spans="1:16" x14ac:dyDescent="0.25">
      <c r="A328" t="s">
        <v>389</v>
      </c>
      <c r="B328" t="s">
        <v>126</v>
      </c>
      <c r="C328" t="s">
        <v>14</v>
      </c>
      <c r="D328">
        <v>35</v>
      </c>
      <c r="E328" t="s">
        <v>34</v>
      </c>
      <c r="F328" t="s">
        <v>35</v>
      </c>
      <c r="G328">
        <v>42825</v>
      </c>
      <c r="H328">
        <v>2</v>
      </c>
      <c r="I328" s="1">
        <v>45379</v>
      </c>
      <c r="J328">
        <v>5</v>
      </c>
      <c r="K328" t="s">
        <v>17</v>
      </c>
      <c r="L328" t="s">
        <v>31</v>
      </c>
      <c r="M328" t="str">
        <f>IF(Table3[[#This Row],[Age]]&lt;30,"Young",IF(Table3[[#This Row],[Age]]&lt;=40,"Mid","Senior"))</f>
        <v>Mid</v>
      </c>
      <c r="N328" t="str">
        <f>IF(Table3[[#This Row],[Experience]]&lt;3,"Junior",IF(Table3[[#This Row],[Experience]]&lt;=7,"Mid","Senior"))</f>
        <v>Junior</v>
      </c>
      <c r="O328">
        <f>YEAR(Table3[[#This Row],[Joining_Date]])</f>
        <v>2024</v>
      </c>
      <c r="P328" t="str">
        <f>IF(AND(Table3[[#This Row],[Performance]]&lt;=2,Table3[[#This Row],[Attrition]]="No"),"High Risk","Stable")</f>
        <v>Stable</v>
      </c>
    </row>
    <row r="329" spans="1:16" x14ac:dyDescent="0.25">
      <c r="A329" t="s">
        <v>390</v>
      </c>
      <c r="B329" t="s">
        <v>56</v>
      </c>
      <c r="C329" t="s">
        <v>21</v>
      </c>
      <c r="D329">
        <v>24</v>
      </c>
      <c r="E329" t="s">
        <v>15</v>
      </c>
      <c r="F329" t="s">
        <v>80</v>
      </c>
      <c r="G329">
        <v>49392</v>
      </c>
      <c r="H329">
        <v>3</v>
      </c>
      <c r="I329" s="1">
        <v>43268</v>
      </c>
      <c r="J329">
        <v>4</v>
      </c>
      <c r="K329" t="s">
        <v>17</v>
      </c>
      <c r="L329" t="s">
        <v>39</v>
      </c>
      <c r="M329" t="str">
        <f>IF(Table3[[#This Row],[Age]]&lt;30,"Young",IF(Table3[[#This Row],[Age]]&lt;=40,"Mid","Senior"))</f>
        <v>Young</v>
      </c>
      <c r="N329" t="str">
        <f>IF(Table3[[#This Row],[Experience]]&lt;3,"Junior",IF(Table3[[#This Row],[Experience]]&lt;=7,"Mid","Senior"))</f>
        <v>Mid</v>
      </c>
      <c r="O329">
        <f>YEAR(Table3[[#This Row],[Joining_Date]])</f>
        <v>2018</v>
      </c>
      <c r="P329" t="str">
        <f>IF(AND(Table3[[#This Row],[Performance]]&lt;=2,Table3[[#This Row],[Attrition]]="No"),"High Risk","Stable")</f>
        <v>Stable</v>
      </c>
    </row>
    <row r="330" spans="1:16" x14ac:dyDescent="0.25">
      <c r="A330" t="s">
        <v>391</v>
      </c>
      <c r="B330" t="s">
        <v>91</v>
      </c>
      <c r="C330" t="s">
        <v>14</v>
      </c>
      <c r="D330">
        <v>33</v>
      </c>
      <c r="E330" t="s">
        <v>24</v>
      </c>
      <c r="F330" t="s">
        <v>25</v>
      </c>
      <c r="G330">
        <v>73052</v>
      </c>
      <c r="H330">
        <v>12</v>
      </c>
      <c r="I330" s="1">
        <v>42769</v>
      </c>
      <c r="J330">
        <v>4</v>
      </c>
      <c r="K330" t="s">
        <v>42</v>
      </c>
      <c r="L330" t="s">
        <v>18</v>
      </c>
      <c r="M330" t="str">
        <f>IF(Table3[[#This Row],[Age]]&lt;30,"Young",IF(Table3[[#This Row],[Age]]&lt;=40,"Mid","Senior"))</f>
        <v>Mid</v>
      </c>
      <c r="N330" t="str">
        <f>IF(Table3[[#This Row],[Experience]]&lt;3,"Junior",IF(Table3[[#This Row],[Experience]]&lt;=7,"Mid","Senior"))</f>
        <v>Senior</v>
      </c>
      <c r="O330">
        <f>YEAR(Table3[[#This Row],[Joining_Date]])</f>
        <v>2017</v>
      </c>
      <c r="P330" t="str">
        <f>IF(AND(Table3[[#This Row],[Performance]]&lt;=2,Table3[[#This Row],[Attrition]]="No"),"High Risk","Stable")</f>
        <v>Stable</v>
      </c>
    </row>
    <row r="331" spans="1:16" x14ac:dyDescent="0.25">
      <c r="A331" t="s">
        <v>392</v>
      </c>
      <c r="B331" t="s">
        <v>33</v>
      </c>
      <c r="C331" t="s">
        <v>21</v>
      </c>
      <c r="D331">
        <v>40</v>
      </c>
      <c r="E331" t="s">
        <v>67</v>
      </c>
      <c r="F331" t="s">
        <v>76</v>
      </c>
      <c r="G331">
        <v>39976</v>
      </c>
      <c r="H331">
        <v>1</v>
      </c>
      <c r="I331" s="1">
        <v>45086</v>
      </c>
      <c r="J331">
        <v>1</v>
      </c>
      <c r="K331" t="s">
        <v>42</v>
      </c>
      <c r="L331" t="s">
        <v>36</v>
      </c>
      <c r="M331" t="str">
        <f>IF(Table3[[#This Row],[Age]]&lt;30,"Young",IF(Table3[[#This Row],[Age]]&lt;=40,"Mid","Senior"))</f>
        <v>Mid</v>
      </c>
      <c r="N331" t="str">
        <f>IF(Table3[[#This Row],[Experience]]&lt;3,"Junior",IF(Table3[[#This Row],[Experience]]&lt;=7,"Mid","Senior"))</f>
        <v>Junior</v>
      </c>
      <c r="O331">
        <f>YEAR(Table3[[#This Row],[Joining_Date]])</f>
        <v>2023</v>
      </c>
      <c r="P331" t="str">
        <f>IF(AND(Table3[[#This Row],[Performance]]&lt;=2,Table3[[#This Row],[Attrition]]="No"),"High Risk","Stable")</f>
        <v>Stable</v>
      </c>
    </row>
    <row r="332" spans="1:16" x14ac:dyDescent="0.25">
      <c r="A332" t="s">
        <v>393</v>
      </c>
      <c r="B332" t="s">
        <v>45</v>
      </c>
      <c r="C332" t="s">
        <v>21</v>
      </c>
      <c r="D332">
        <v>38</v>
      </c>
      <c r="E332" t="s">
        <v>67</v>
      </c>
      <c r="F332" t="s">
        <v>68</v>
      </c>
      <c r="G332">
        <v>76273</v>
      </c>
      <c r="H332">
        <v>13</v>
      </c>
      <c r="I332" s="1">
        <v>44819</v>
      </c>
      <c r="J332">
        <v>4</v>
      </c>
      <c r="K332" t="s">
        <v>17</v>
      </c>
      <c r="L332" t="s">
        <v>50</v>
      </c>
      <c r="M332" t="str">
        <f>IF(Table3[[#This Row],[Age]]&lt;30,"Young",IF(Table3[[#This Row],[Age]]&lt;=40,"Mid","Senior"))</f>
        <v>Mid</v>
      </c>
      <c r="N332" t="str">
        <f>IF(Table3[[#This Row],[Experience]]&lt;3,"Junior",IF(Table3[[#This Row],[Experience]]&lt;=7,"Mid","Senior"))</f>
        <v>Senior</v>
      </c>
      <c r="O332">
        <f>YEAR(Table3[[#This Row],[Joining_Date]])</f>
        <v>2022</v>
      </c>
      <c r="P332" t="str">
        <f>IF(AND(Table3[[#This Row],[Performance]]&lt;=2,Table3[[#This Row],[Attrition]]="No"),"High Risk","Stable")</f>
        <v>Stable</v>
      </c>
    </row>
    <row r="333" spans="1:16" x14ac:dyDescent="0.25">
      <c r="A333" t="s">
        <v>394</v>
      </c>
      <c r="B333" t="s">
        <v>45</v>
      </c>
      <c r="C333" t="s">
        <v>21</v>
      </c>
      <c r="D333">
        <v>44</v>
      </c>
      <c r="E333" t="s">
        <v>67</v>
      </c>
      <c r="F333" t="s">
        <v>76</v>
      </c>
      <c r="G333">
        <v>45726</v>
      </c>
      <c r="H333">
        <v>1</v>
      </c>
      <c r="I333" s="1">
        <v>44344</v>
      </c>
      <c r="J333">
        <v>5</v>
      </c>
      <c r="K333" t="s">
        <v>17</v>
      </c>
      <c r="L333" t="s">
        <v>39</v>
      </c>
      <c r="M333" t="str">
        <f>IF(Table3[[#This Row],[Age]]&lt;30,"Young",IF(Table3[[#This Row],[Age]]&lt;=40,"Mid","Senior"))</f>
        <v>Senior</v>
      </c>
      <c r="N333" t="str">
        <f>IF(Table3[[#This Row],[Experience]]&lt;3,"Junior",IF(Table3[[#This Row],[Experience]]&lt;=7,"Mid","Senior"))</f>
        <v>Junior</v>
      </c>
      <c r="O333">
        <f>YEAR(Table3[[#This Row],[Joining_Date]])</f>
        <v>2021</v>
      </c>
      <c r="P333" t="str">
        <f>IF(AND(Table3[[#This Row],[Performance]]&lt;=2,Table3[[#This Row],[Attrition]]="No"),"High Risk","Stable")</f>
        <v>Stable</v>
      </c>
    </row>
    <row r="334" spans="1:16" x14ac:dyDescent="0.25">
      <c r="A334" t="s">
        <v>395</v>
      </c>
      <c r="B334" t="s">
        <v>91</v>
      </c>
      <c r="C334" t="s">
        <v>14</v>
      </c>
      <c r="D334">
        <v>27</v>
      </c>
      <c r="E334" t="s">
        <v>34</v>
      </c>
      <c r="F334" t="s">
        <v>35</v>
      </c>
      <c r="G334">
        <v>51157</v>
      </c>
      <c r="H334">
        <v>6</v>
      </c>
      <c r="I334" s="1">
        <v>42521</v>
      </c>
      <c r="J334">
        <v>1</v>
      </c>
      <c r="K334" t="s">
        <v>42</v>
      </c>
      <c r="L334" t="s">
        <v>39</v>
      </c>
      <c r="M334" t="str">
        <f>IF(Table3[[#This Row],[Age]]&lt;30,"Young",IF(Table3[[#This Row],[Age]]&lt;=40,"Mid","Senior"))</f>
        <v>Young</v>
      </c>
      <c r="N334" t="str">
        <f>IF(Table3[[#This Row],[Experience]]&lt;3,"Junior",IF(Table3[[#This Row],[Experience]]&lt;=7,"Mid","Senior"))</f>
        <v>Mid</v>
      </c>
      <c r="O334">
        <f>YEAR(Table3[[#This Row],[Joining_Date]])</f>
        <v>2016</v>
      </c>
      <c r="P334" t="str">
        <f>IF(AND(Table3[[#This Row],[Performance]]&lt;=2,Table3[[#This Row],[Attrition]]="No"),"High Risk","Stable")</f>
        <v>Stable</v>
      </c>
    </row>
    <row r="335" spans="1:16" x14ac:dyDescent="0.25">
      <c r="A335" t="s">
        <v>396</v>
      </c>
      <c r="B335" t="s">
        <v>27</v>
      </c>
      <c r="C335" t="s">
        <v>21</v>
      </c>
      <c r="D335">
        <v>30</v>
      </c>
      <c r="E335" t="s">
        <v>67</v>
      </c>
      <c r="F335" t="s">
        <v>68</v>
      </c>
      <c r="G335">
        <v>69412</v>
      </c>
      <c r="H335">
        <v>9</v>
      </c>
      <c r="I335" s="1">
        <v>45749</v>
      </c>
      <c r="J335">
        <v>1</v>
      </c>
      <c r="K335" t="s">
        <v>42</v>
      </c>
      <c r="L335" t="s">
        <v>43</v>
      </c>
      <c r="M335" t="str">
        <f>IF(Table3[[#This Row],[Age]]&lt;30,"Young",IF(Table3[[#This Row],[Age]]&lt;=40,"Mid","Senior"))</f>
        <v>Mid</v>
      </c>
      <c r="N335" t="str">
        <f>IF(Table3[[#This Row],[Experience]]&lt;3,"Junior",IF(Table3[[#This Row],[Experience]]&lt;=7,"Mid","Senior"))</f>
        <v>Senior</v>
      </c>
      <c r="O335">
        <f>YEAR(Table3[[#This Row],[Joining_Date]])</f>
        <v>2025</v>
      </c>
      <c r="P335" t="str">
        <f>IF(AND(Table3[[#This Row],[Performance]]&lt;=2,Table3[[#This Row],[Attrition]]="No"),"High Risk","Stable")</f>
        <v>Stable</v>
      </c>
    </row>
    <row r="336" spans="1:16" x14ac:dyDescent="0.25">
      <c r="A336" t="s">
        <v>397</v>
      </c>
      <c r="B336" t="s">
        <v>199</v>
      </c>
      <c r="C336" t="s">
        <v>14</v>
      </c>
      <c r="D336">
        <v>36</v>
      </c>
      <c r="E336" t="s">
        <v>67</v>
      </c>
      <c r="F336" t="s">
        <v>76</v>
      </c>
      <c r="G336">
        <v>47886</v>
      </c>
      <c r="H336">
        <v>0</v>
      </c>
      <c r="I336" s="1">
        <v>44873</v>
      </c>
      <c r="J336">
        <v>5</v>
      </c>
      <c r="K336" t="s">
        <v>17</v>
      </c>
      <c r="L336" t="s">
        <v>18</v>
      </c>
      <c r="M336" t="str">
        <f>IF(Table3[[#This Row],[Age]]&lt;30,"Young",IF(Table3[[#This Row],[Age]]&lt;=40,"Mid","Senior"))</f>
        <v>Mid</v>
      </c>
      <c r="N336" t="str">
        <f>IF(Table3[[#This Row],[Experience]]&lt;3,"Junior",IF(Table3[[#This Row],[Experience]]&lt;=7,"Mid","Senior"))</f>
        <v>Junior</v>
      </c>
      <c r="O336">
        <f>YEAR(Table3[[#This Row],[Joining_Date]])</f>
        <v>2022</v>
      </c>
      <c r="P336" t="str">
        <f>IF(AND(Table3[[#This Row],[Performance]]&lt;=2,Table3[[#This Row],[Attrition]]="No"),"High Risk","Stable")</f>
        <v>Stable</v>
      </c>
    </row>
    <row r="337" spans="1:16" x14ac:dyDescent="0.25">
      <c r="A337" t="s">
        <v>398</v>
      </c>
      <c r="B337" t="s">
        <v>88</v>
      </c>
      <c r="C337" t="s">
        <v>21</v>
      </c>
      <c r="D337">
        <v>40</v>
      </c>
      <c r="E337" t="s">
        <v>15</v>
      </c>
      <c r="F337" t="s">
        <v>71</v>
      </c>
      <c r="G337">
        <v>49230</v>
      </c>
      <c r="H337">
        <v>3</v>
      </c>
      <c r="I337" s="1">
        <v>44309</v>
      </c>
      <c r="J337">
        <v>1</v>
      </c>
      <c r="K337" t="s">
        <v>17</v>
      </c>
      <c r="L337" t="s">
        <v>36</v>
      </c>
      <c r="M337" t="str">
        <f>IF(Table3[[#This Row],[Age]]&lt;30,"Young",IF(Table3[[#This Row],[Age]]&lt;=40,"Mid","Senior"))</f>
        <v>Mid</v>
      </c>
      <c r="N337" t="str">
        <f>IF(Table3[[#This Row],[Experience]]&lt;3,"Junior",IF(Table3[[#This Row],[Experience]]&lt;=7,"Mid","Senior"))</f>
        <v>Mid</v>
      </c>
      <c r="O337">
        <f>YEAR(Table3[[#This Row],[Joining_Date]])</f>
        <v>2021</v>
      </c>
      <c r="P337" t="str">
        <f>IF(AND(Table3[[#This Row],[Performance]]&lt;=2,Table3[[#This Row],[Attrition]]="No"),"High Risk","Stable")</f>
        <v>High Risk</v>
      </c>
    </row>
    <row r="338" spans="1:16" x14ac:dyDescent="0.25">
      <c r="A338" t="s">
        <v>399</v>
      </c>
      <c r="B338" t="s">
        <v>58</v>
      </c>
      <c r="C338" t="s">
        <v>14</v>
      </c>
      <c r="D338">
        <v>40</v>
      </c>
      <c r="E338" t="s">
        <v>67</v>
      </c>
      <c r="F338" t="s">
        <v>76</v>
      </c>
      <c r="G338">
        <v>73113</v>
      </c>
      <c r="H338">
        <v>15</v>
      </c>
      <c r="I338" s="1">
        <v>42710</v>
      </c>
      <c r="J338">
        <v>3</v>
      </c>
      <c r="K338" t="s">
        <v>17</v>
      </c>
      <c r="L338" t="s">
        <v>43</v>
      </c>
      <c r="M338" t="str">
        <f>IF(Table3[[#This Row],[Age]]&lt;30,"Young",IF(Table3[[#This Row],[Age]]&lt;=40,"Mid","Senior"))</f>
        <v>Mid</v>
      </c>
      <c r="N338" t="str">
        <f>IF(Table3[[#This Row],[Experience]]&lt;3,"Junior",IF(Table3[[#This Row],[Experience]]&lt;=7,"Mid","Senior"))</f>
        <v>Senior</v>
      </c>
      <c r="O338">
        <f>YEAR(Table3[[#This Row],[Joining_Date]])</f>
        <v>2016</v>
      </c>
      <c r="P338" t="str">
        <f>IF(AND(Table3[[#This Row],[Performance]]&lt;=2,Table3[[#This Row],[Attrition]]="No"),"High Risk","Stable")</f>
        <v>Stable</v>
      </c>
    </row>
    <row r="339" spans="1:16" x14ac:dyDescent="0.25">
      <c r="A339" t="s">
        <v>400</v>
      </c>
      <c r="B339" t="s">
        <v>54</v>
      </c>
      <c r="C339" t="s">
        <v>14</v>
      </c>
      <c r="D339">
        <v>44</v>
      </c>
      <c r="E339" t="s">
        <v>67</v>
      </c>
      <c r="F339" t="s">
        <v>97</v>
      </c>
      <c r="G339">
        <v>53307</v>
      </c>
      <c r="H339">
        <v>7</v>
      </c>
      <c r="I339" s="1">
        <v>45059</v>
      </c>
      <c r="J339">
        <v>4</v>
      </c>
      <c r="K339" t="s">
        <v>17</v>
      </c>
      <c r="L339" t="s">
        <v>36</v>
      </c>
      <c r="M339" t="str">
        <f>IF(Table3[[#This Row],[Age]]&lt;30,"Young",IF(Table3[[#This Row],[Age]]&lt;=40,"Mid","Senior"))</f>
        <v>Senior</v>
      </c>
      <c r="N339" t="str">
        <f>IF(Table3[[#This Row],[Experience]]&lt;3,"Junior",IF(Table3[[#This Row],[Experience]]&lt;=7,"Mid","Senior"))</f>
        <v>Mid</v>
      </c>
      <c r="O339">
        <f>YEAR(Table3[[#This Row],[Joining_Date]])</f>
        <v>2023</v>
      </c>
      <c r="P339" t="str">
        <f>IF(AND(Table3[[#This Row],[Performance]]&lt;=2,Table3[[#This Row],[Attrition]]="No"),"High Risk","Stable")</f>
        <v>Stable</v>
      </c>
    </row>
    <row r="340" spans="1:16" x14ac:dyDescent="0.25">
      <c r="A340" t="s">
        <v>401</v>
      </c>
      <c r="B340" t="s">
        <v>56</v>
      </c>
      <c r="C340" t="s">
        <v>14</v>
      </c>
      <c r="D340">
        <v>30</v>
      </c>
      <c r="E340" t="s">
        <v>15</v>
      </c>
      <c r="F340" t="s">
        <v>28</v>
      </c>
      <c r="G340">
        <v>73906</v>
      </c>
      <c r="H340">
        <v>9</v>
      </c>
      <c r="I340" s="1">
        <v>44810</v>
      </c>
      <c r="J340">
        <v>1</v>
      </c>
      <c r="K340" t="s">
        <v>17</v>
      </c>
      <c r="L340" t="s">
        <v>36</v>
      </c>
      <c r="M340" t="str">
        <f>IF(Table3[[#This Row],[Age]]&lt;30,"Young",IF(Table3[[#This Row],[Age]]&lt;=40,"Mid","Senior"))</f>
        <v>Mid</v>
      </c>
      <c r="N340" t="str">
        <f>IF(Table3[[#This Row],[Experience]]&lt;3,"Junior",IF(Table3[[#This Row],[Experience]]&lt;=7,"Mid","Senior"))</f>
        <v>Senior</v>
      </c>
      <c r="O340">
        <f>YEAR(Table3[[#This Row],[Joining_Date]])</f>
        <v>2022</v>
      </c>
      <c r="P340" t="str">
        <f>IF(AND(Table3[[#This Row],[Performance]]&lt;=2,Table3[[#This Row],[Attrition]]="No"),"High Risk","Stable")</f>
        <v>High Risk</v>
      </c>
    </row>
    <row r="341" spans="1:16" x14ac:dyDescent="0.25">
      <c r="A341" t="s">
        <v>402</v>
      </c>
      <c r="B341" t="s">
        <v>23</v>
      </c>
      <c r="C341" t="s">
        <v>14</v>
      </c>
      <c r="D341">
        <v>41</v>
      </c>
      <c r="E341" t="s">
        <v>67</v>
      </c>
      <c r="F341" t="s">
        <v>76</v>
      </c>
      <c r="G341">
        <v>43079</v>
      </c>
      <c r="H341">
        <v>2</v>
      </c>
      <c r="I341" s="1">
        <v>43814</v>
      </c>
      <c r="J341">
        <v>2</v>
      </c>
      <c r="K341" t="s">
        <v>17</v>
      </c>
      <c r="L341" t="s">
        <v>18</v>
      </c>
      <c r="M341" t="str">
        <f>IF(Table3[[#This Row],[Age]]&lt;30,"Young",IF(Table3[[#This Row],[Age]]&lt;=40,"Mid","Senior"))</f>
        <v>Senior</v>
      </c>
      <c r="N341" t="str">
        <f>IF(Table3[[#This Row],[Experience]]&lt;3,"Junior",IF(Table3[[#This Row],[Experience]]&lt;=7,"Mid","Senior"))</f>
        <v>Junior</v>
      </c>
      <c r="O341">
        <f>YEAR(Table3[[#This Row],[Joining_Date]])</f>
        <v>2019</v>
      </c>
      <c r="P341" t="str">
        <f>IF(AND(Table3[[#This Row],[Performance]]&lt;=2,Table3[[#This Row],[Attrition]]="No"),"High Risk","Stable")</f>
        <v>High Risk</v>
      </c>
    </row>
    <row r="342" spans="1:16" x14ac:dyDescent="0.25">
      <c r="A342" t="s">
        <v>403</v>
      </c>
      <c r="B342" t="s">
        <v>60</v>
      </c>
      <c r="C342" t="s">
        <v>21</v>
      </c>
      <c r="D342">
        <v>31</v>
      </c>
      <c r="E342" t="s">
        <v>24</v>
      </c>
      <c r="F342" t="s">
        <v>25</v>
      </c>
      <c r="G342">
        <v>64222</v>
      </c>
      <c r="H342">
        <v>10</v>
      </c>
      <c r="I342" s="1">
        <v>45201</v>
      </c>
      <c r="J342">
        <v>5</v>
      </c>
      <c r="K342" t="s">
        <v>17</v>
      </c>
      <c r="L342" t="s">
        <v>31</v>
      </c>
      <c r="M342" t="str">
        <f>IF(Table3[[#This Row],[Age]]&lt;30,"Young",IF(Table3[[#This Row],[Age]]&lt;=40,"Mid","Senior"))</f>
        <v>Mid</v>
      </c>
      <c r="N342" t="str">
        <f>IF(Table3[[#This Row],[Experience]]&lt;3,"Junior",IF(Table3[[#This Row],[Experience]]&lt;=7,"Mid","Senior"))</f>
        <v>Senior</v>
      </c>
      <c r="O342">
        <f>YEAR(Table3[[#This Row],[Joining_Date]])</f>
        <v>2023</v>
      </c>
      <c r="P342" t="str">
        <f>IF(AND(Table3[[#This Row],[Performance]]&lt;=2,Table3[[#This Row],[Attrition]]="No"),"High Risk","Stable")</f>
        <v>Stable</v>
      </c>
    </row>
    <row r="343" spans="1:16" x14ac:dyDescent="0.25">
      <c r="A343" t="s">
        <v>404</v>
      </c>
      <c r="B343" t="s">
        <v>78</v>
      </c>
      <c r="C343" t="s">
        <v>21</v>
      </c>
      <c r="D343">
        <v>29</v>
      </c>
      <c r="E343" t="s">
        <v>34</v>
      </c>
      <c r="F343" t="s">
        <v>74</v>
      </c>
      <c r="G343">
        <v>42978</v>
      </c>
      <c r="H343">
        <v>1</v>
      </c>
      <c r="I343" s="1">
        <v>42212</v>
      </c>
      <c r="J343">
        <v>3</v>
      </c>
      <c r="K343" t="s">
        <v>17</v>
      </c>
      <c r="L343" t="s">
        <v>36</v>
      </c>
      <c r="M343" t="str">
        <f>IF(Table3[[#This Row],[Age]]&lt;30,"Young",IF(Table3[[#This Row],[Age]]&lt;=40,"Mid","Senior"))</f>
        <v>Young</v>
      </c>
      <c r="N343" t="str">
        <f>IF(Table3[[#This Row],[Experience]]&lt;3,"Junior",IF(Table3[[#This Row],[Experience]]&lt;=7,"Mid","Senior"))</f>
        <v>Junior</v>
      </c>
      <c r="O343">
        <f>YEAR(Table3[[#This Row],[Joining_Date]])</f>
        <v>2015</v>
      </c>
      <c r="P343" t="str">
        <f>IF(AND(Table3[[#This Row],[Performance]]&lt;=2,Table3[[#This Row],[Attrition]]="No"),"High Risk","Stable")</f>
        <v>Stable</v>
      </c>
    </row>
    <row r="344" spans="1:16" x14ac:dyDescent="0.25">
      <c r="A344" t="s">
        <v>405</v>
      </c>
      <c r="B344" t="s">
        <v>63</v>
      </c>
      <c r="C344" t="s">
        <v>14</v>
      </c>
      <c r="D344">
        <v>43</v>
      </c>
      <c r="E344" t="s">
        <v>24</v>
      </c>
      <c r="F344" t="s">
        <v>49</v>
      </c>
      <c r="G344">
        <v>40963</v>
      </c>
      <c r="H344">
        <v>0</v>
      </c>
      <c r="I344" s="1">
        <v>43530</v>
      </c>
      <c r="J344">
        <v>4</v>
      </c>
      <c r="K344" t="s">
        <v>17</v>
      </c>
      <c r="L344" t="s">
        <v>50</v>
      </c>
      <c r="M344" t="str">
        <f>IF(Table3[[#This Row],[Age]]&lt;30,"Young",IF(Table3[[#This Row],[Age]]&lt;=40,"Mid","Senior"))</f>
        <v>Senior</v>
      </c>
      <c r="N344" t="str">
        <f>IF(Table3[[#This Row],[Experience]]&lt;3,"Junior",IF(Table3[[#This Row],[Experience]]&lt;=7,"Mid","Senior"))</f>
        <v>Junior</v>
      </c>
      <c r="O344">
        <f>YEAR(Table3[[#This Row],[Joining_Date]])</f>
        <v>2019</v>
      </c>
      <c r="P344" t="str">
        <f>IF(AND(Table3[[#This Row],[Performance]]&lt;=2,Table3[[#This Row],[Attrition]]="No"),"High Risk","Stable")</f>
        <v>Stable</v>
      </c>
    </row>
    <row r="345" spans="1:16" x14ac:dyDescent="0.25">
      <c r="A345" t="s">
        <v>406</v>
      </c>
      <c r="B345" t="s">
        <v>91</v>
      </c>
      <c r="C345" t="s">
        <v>14</v>
      </c>
      <c r="D345">
        <v>30</v>
      </c>
      <c r="E345" t="s">
        <v>67</v>
      </c>
      <c r="F345" t="s">
        <v>76</v>
      </c>
      <c r="G345">
        <v>44670</v>
      </c>
      <c r="H345">
        <v>2</v>
      </c>
      <c r="I345" s="1">
        <v>42117</v>
      </c>
      <c r="J345">
        <v>4</v>
      </c>
      <c r="K345" t="s">
        <v>42</v>
      </c>
      <c r="L345" t="s">
        <v>43</v>
      </c>
      <c r="M345" t="str">
        <f>IF(Table3[[#This Row],[Age]]&lt;30,"Young",IF(Table3[[#This Row],[Age]]&lt;=40,"Mid","Senior"))</f>
        <v>Mid</v>
      </c>
      <c r="N345" t="str">
        <f>IF(Table3[[#This Row],[Experience]]&lt;3,"Junior",IF(Table3[[#This Row],[Experience]]&lt;=7,"Mid","Senior"))</f>
        <v>Junior</v>
      </c>
      <c r="O345">
        <f>YEAR(Table3[[#This Row],[Joining_Date]])</f>
        <v>2015</v>
      </c>
      <c r="P345" t="str">
        <f>IF(AND(Table3[[#This Row],[Performance]]&lt;=2,Table3[[#This Row],[Attrition]]="No"),"High Risk","Stable")</f>
        <v>Stable</v>
      </c>
    </row>
    <row r="346" spans="1:16" x14ac:dyDescent="0.25">
      <c r="A346" t="s">
        <v>407</v>
      </c>
      <c r="B346" t="s">
        <v>20</v>
      </c>
      <c r="C346" t="s">
        <v>21</v>
      </c>
      <c r="D346">
        <v>30</v>
      </c>
      <c r="E346" t="s">
        <v>34</v>
      </c>
      <c r="F346" t="s">
        <v>74</v>
      </c>
      <c r="G346">
        <v>63909</v>
      </c>
      <c r="H346">
        <v>9</v>
      </c>
      <c r="I346" s="1">
        <v>42087</v>
      </c>
      <c r="J346">
        <v>1</v>
      </c>
      <c r="K346" t="s">
        <v>17</v>
      </c>
      <c r="L346" t="s">
        <v>50</v>
      </c>
      <c r="M346" t="str">
        <f>IF(Table3[[#This Row],[Age]]&lt;30,"Young",IF(Table3[[#This Row],[Age]]&lt;=40,"Mid","Senior"))</f>
        <v>Mid</v>
      </c>
      <c r="N346" t="str">
        <f>IF(Table3[[#This Row],[Experience]]&lt;3,"Junior",IF(Table3[[#This Row],[Experience]]&lt;=7,"Mid","Senior"))</f>
        <v>Senior</v>
      </c>
      <c r="O346">
        <f>YEAR(Table3[[#This Row],[Joining_Date]])</f>
        <v>2015</v>
      </c>
      <c r="P346" t="str">
        <f>IF(AND(Table3[[#This Row],[Performance]]&lt;=2,Table3[[#This Row],[Attrition]]="No"),"High Risk","Stable")</f>
        <v>High Risk</v>
      </c>
    </row>
    <row r="347" spans="1:16" x14ac:dyDescent="0.25">
      <c r="A347" t="s">
        <v>408</v>
      </c>
      <c r="B347" t="s">
        <v>27</v>
      </c>
      <c r="C347" t="s">
        <v>14</v>
      </c>
      <c r="D347">
        <v>31</v>
      </c>
      <c r="E347" t="s">
        <v>15</v>
      </c>
      <c r="F347" t="s">
        <v>80</v>
      </c>
      <c r="G347">
        <v>66943</v>
      </c>
      <c r="H347">
        <v>8</v>
      </c>
      <c r="I347" s="1">
        <v>45672</v>
      </c>
      <c r="J347">
        <v>4</v>
      </c>
      <c r="K347" t="s">
        <v>17</v>
      </c>
      <c r="L347" t="s">
        <v>18</v>
      </c>
      <c r="M347" t="str">
        <f>IF(Table3[[#This Row],[Age]]&lt;30,"Young",IF(Table3[[#This Row],[Age]]&lt;=40,"Mid","Senior"))</f>
        <v>Mid</v>
      </c>
      <c r="N347" t="str">
        <f>IF(Table3[[#This Row],[Experience]]&lt;3,"Junior",IF(Table3[[#This Row],[Experience]]&lt;=7,"Mid","Senior"))</f>
        <v>Senior</v>
      </c>
      <c r="O347">
        <f>YEAR(Table3[[#This Row],[Joining_Date]])</f>
        <v>2025</v>
      </c>
      <c r="P347" t="str">
        <f>IF(AND(Table3[[#This Row],[Performance]]&lt;=2,Table3[[#This Row],[Attrition]]="No"),"High Risk","Stable")</f>
        <v>Stable</v>
      </c>
    </row>
    <row r="348" spans="1:16" x14ac:dyDescent="0.25">
      <c r="A348" t="s">
        <v>409</v>
      </c>
      <c r="B348" t="s">
        <v>56</v>
      </c>
      <c r="C348" t="s">
        <v>14</v>
      </c>
      <c r="D348">
        <v>43</v>
      </c>
      <c r="E348" t="s">
        <v>24</v>
      </c>
      <c r="F348" t="s">
        <v>46</v>
      </c>
      <c r="G348">
        <v>76576</v>
      </c>
      <c r="H348">
        <v>12</v>
      </c>
      <c r="I348" s="1">
        <v>42424</v>
      </c>
      <c r="J348">
        <v>1</v>
      </c>
      <c r="K348" t="s">
        <v>17</v>
      </c>
      <c r="L348" t="s">
        <v>36</v>
      </c>
      <c r="M348" t="str">
        <f>IF(Table3[[#This Row],[Age]]&lt;30,"Young",IF(Table3[[#This Row],[Age]]&lt;=40,"Mid","Senior"))</f>
        <v>Senior</v>
      </c>
      <c r="N348" t="str">
        <f>IF(Table3[[#This Row],[Experience]]&lt;3,"Junior",IF(Table3[[#This Row],[Experience]]&lt;=7,"Mid","Senior"))</f>
        <v>Senior</v>
      </c>
      <c r="O348">
        <f>YEAR(Table3[[#This Row],[Joining_Date]])</f>
        <v>2016</v>
      </c>
      <c r="P348" t="str">
        <f>IF(AND(Table3[[#This Row],[Performance]]&lt;=2,Table3[[#This Row],[Attrition]]="No"),"High Risk","Stable")</f>
        <v>High Risk</v>
      </c>
    </row>
    <row r="349" spans="1:16" x14ac:dyDescent="0.25">
      <c r="A349" t="s">
        <v>410</v>
      </c>
      <c r="B349" t="s">
        <v>58</v>
      </c>
      <c r="C349" t="s">
        <v>21</v>
      </c>
      <c r="D349">
        <v>24</v>
      </c>
      <c r="E349" t="s">
        <v>24</v>
      </c>
      <c r="F349" t="s">
        <v>124</v>
      </c>
      <c r="G349">
        <v>49029</v>
      </c>
      <c r="H349">
        <v>3</v>
      </c>
      <c r="I349" s="1">
        <v>44628</v>
      </c>
      <c r="J349">
        <v>3</v>
      </c>
      <c r="K349" t="s">
        <v>17</v>
      </c>
      <c r="L349" t="s">
        <v>36</v>
      </c>
      <c r="M349" t="str">
        <f>IF(Table3[[#This Row],[Age]]&lt;30,"Young",IF(Table3[[#This Row],[Age]]&lt;=40,"Mid","Senior"))</f>
        <v>Young</v>
      </c>
      <c r="N349" t="str">
        <f>IF(Table3[[#This Row],[Experience]]&lt;3,"Junior",IF(Table3[[#This Row],[Experience]]&lt;=7,"Mid","Senior"))</f>
        <v>Mid</v>
      </c>
      <c r="O349">
        <f>YEAR(Table3[[#This Row],[Joining_Date]])</f>
        <v>2022</v>
      </c>
      <c r="P349" t="str">
        <f>IF(AND(Table3[[#This Row],[Performance]]&lt;=2,Table3[[#This Row],[Attrition]]="No"),"High Risk","Stable")</f>
        <v>Stable</v>
      </c>
    </row>
    <row r="350" spans="1:16" x14ac:dyDescent="0.25">
      <c r="A350" t="s">
        <v>411</v>
      </c>
      <c r="B350" t="s">
        <v>199</v>
      </c>
      <c r="C350" t="s">
        <v>21</v>
      </c>
      <c r="D350">
        <v>29</v>
      </c>
      <c r="E350" t="s">
        <v>24</v>
      </c>
      <c r="F350" t="s">
        <v>46</v>
      </c>
      <c r="G350">
        <v>49330</v>
      </c>
      <c r="H350">
        <v>1</v>
      </c>
      <c r="I350" s="1">
        <v>43660</v>
      </c>
      <c r="J350">
        <v>3</v>
      </c>
      <c r="K350" t="s">
        <v>17</v>
      </c>
      <c r="L350" t="s">
        <v>39</v>
      </c>
      <c r="M350" t="str">
        <f>IF(Table3[[#This Row],[Age]]&lt;30,"Young",IF(Table3[[#This Row],[Age]]&lt;=40,"Mid","Senior"))</f>
        <v>Young</v>
      </c>
      <c r="N350" t="str">
        <f>IF(Table3[[#This Row],[Experience]]&lt;3,"Junior",IF(Table3[[#This Row],[Experience]]&lt;=7,"Mid","Senior"))</f>
        <v>Junior</v>
      </c>
      <c r="O350">
        <f>YEAR(Table3[[#This Row],[Joining_Date]])</f>
        <v>2019</v>
      </c>
      <c r="P350" t="str">
        <f>IF(AND(Table3[[#This Row],[Performance]]&lt;=2,Table3[[#This Row],[Attrition]]="No"),"High Risk","Stable")</f>
        <v>Stable</v>
      </c>
    </row>
    <row r="351" spans="1:16" x14ac:dyDescent="0.25">
      <c r="A351" t="s">
        <v>412</v>
      </c>
      <c r="B351" t="s">
        <v>33</v>
      </c>
      <c r="C351" t="s">
        <v>14</v>
      </c>
      <c r="D351">
        <v>35</v>
      </c>
      <c r="E351" t="s">
        <v>15</v>
      </c>
      <c r="F351" t="s">
        <v>71</v>
      </c>
      <c r="G351">
        <v>76361</v>
      </c>
      <c r="H351">
        <v>12</v>
      </c>
      <c r="I351" s="1">
        <v>45022</v>
      </c>
      <c r="J351">
        <v>1</v>
      </c>
      <c r="K351" t="s">
        <v>17</v>
      </c>
      <c r="L351" t="s">
        <v>50</v>
      </c>
      <c r="M351" t="str">
        <f>IF(Table3[[#This Row],[Age]]&lt;30,"Young",IF(Table3[[#This Row],[Age]]&lt;=40,"Mid","Senior"))</f>
        <v>Mid</v>
      </c>
      <c r="N351" t="str">
        <f>IF(Table3[[#This Row],[Experience]]&lt;3,"Junior",IF(Table3[[#This Row],[Experience]]&lt;=7,"Mid","Senior"))</f>
        <v>Senior</v>
      </c>
      <c r="O351">
        <f>YEAR(Table3[[#This Row],[Joining_Date]])</f>
        <v>2023</v>
      </c>
      <c r="P351" t="str">
        <f>IF(AND(Table3[[#This Row],[Performance]]&lt;=2,Table3[[#This Row],[Attrition]]="No"),"High Risk","Stable")</f>
        <v>High Risk</v>
      </c>
    </row>
    <row r="352" spans="1:16" x14ac:dyDescent="0.25">
      <c r="A352" t="s">
        <v>413</v>
      </c>
      <c r="B352" t="s">
        <v>48</v>
      </c>
      <c r="C352" t="s">
        <v>14</v>
      </c>
      <c r="D352">
        <v>38</v>
      </c>
      <c r="E352" t="s">
        <v>24</v>
      </c>
      <c r="F352" t="s">
        <v>46</v>
      </c>
      <c r="G352">
        <v>62285</v>
      </c>
      <c r="H352">
        <v>9</v>
      </c>
      <c r="I352" s="1">
        <v>45448</v>
      </c>
      <c r="J352">
        <v>5</v>
      </c>
      <c r="K352" t="s">
        <v>17</v>
      </c>
      <c r="L352" t="s">
        <v>31</v>
      </c>
      <c r="M352" t="str">
        <f>IF(Table3[[#This Row],[Age]]&lt;30,"Young",IF(Table3[[#This Row],[Age]]&lt;=40,"Mid","Senior"))</f>
        <v>Mid</v>
      </c>
      <c r="N352" t="str">
        <f>IF(Table3[[#This Row],[Experience]]&lt;3,"Junior",IF(Table3[[#This Row],[Experience]]&lt;=7,"Mid","Senior"))</f>
        <v>Senior</v>
      </c>
      <c r="O352">
        <f>YEAR(Table3[[#This Row],[Joining_Date]])</f>
        <v>2024</v>
      </c>
      <c r="P352" t="str">
        <f>IF(AND(Table3[[#This Row],[Performance]]&lt;=2,Table3[[#This Row],[Attrition]]="No"),"High Risk","Stable")</f>
        <v>Stable</v>
      </c>
    </row>
    <row r="353" spans="1:16" x14ac:dyDescent="0.25">
      <c r="A353" t="s">
        <v>414</v>
      </c>
      <c r="B353" t="s">
        <v>38</v>
      </c>
      <c r="C353" t="s">
        <v>14</v>
      </c>
      <c r="D353">
        <v>27</v>
      </c>
      <c r="E353" t="s">
        <v>67</v>
      </c>
      <c r="F353" t="s">
        <v>68</v>
      </c>
      <c r="G353">
        <v>60722</v>
      </c>
      <c r="H353">
        <v>6</v>
      </c>
      <c r="I353" s="1">
        <v>42370</v>
      </c>
      <c r="J353">
        <v>2</v>
      </c>
      <c r="K353" t="s">
        <v>42</v>
      </c>
      <c r="L353" t="s">
        <v>39</v>
      </c>
      <c r="M353" t="str">
        <f>IF(Table3[[#This Row],[Age]]&lt;30,"Young",IF(Table3[[#This Row],[Age]]&lt;=40,"Mid","Senior"))</f>
        <v>Young</v>
      </c>
      <c r="N353" t="str">
        <f>IF(Table3[[#This Row],[Experience]]&lt;3,"Junior",IF(Table3[[#This Row],[Experience]]&lt;=7,"Mid","Senior"))</f>
        <v>Mid</v>
      </c>
      <c r="O353">
        <f>YEAR(Table3[[#This Row],[Joining_Date]])</f>
        <v>2016</v>
      </c>
      <c r="P353" t="str">
        <f>IF(AND(Table3[[#This Row],[Performance]]&lt;=2,Table3[[#This Row],[Attrition]]="No"),"High Risk","Stable")</f>
        <v>Stable</v>
      </c>
    </row>
    <row r="354" spans="1:16" x14ac:dyDescent="0.25">
      <c r="A354" t="s">
        <v>415</v>
      </c>
      <c r="B354" t="s">
        <v>48</v>
      </c>
      <c r="C354" t="s">
        <v>14</v>
      </c>
      <c r="D354">
        <v>30</v>
      </c>
      <c r="E354" t="s">
        <v>24</v>
      </c>
      <c r="F354" t="s">
        <v>49</v>
      </c>
      <c r="G354">
        <v>67098</v>
      </c>
      <c r="H354">
        <v>9</v>
      </c>
      <c r="I354" s="1">
        <v>45491</v>
      </c>
      <c r="J354">
        <v>1</v>
      </c>
      <c r="K354" t="s">
        <v>17</v>
      </c>
      <c r="L354" t="s">
        <v>43</v>
      </c>
      <c r="M354" t="str">
        <f>IF(Table3[[#This Row],[Age]]&lt;30,"Young",IF(Table3[[#This Row],[Age]]&lt;=40,"Mid","Senior"))</f>
        <v>Mid</v>
      </c>
      <c r="N354" t="str">
        <f>IF(Table3[[#This Row],[Experience]]&lt;3,"Junior",IF(Table3[[#This Row],[Experience]]&lt;=7,"Mid","Senior"))</f>
        <v>Senior</v>
      </c>
      <c r="O354">
        <f>YEAR(Table3[[#This Row],[Joining_Date]])</f>
        <v>2024</v>
      </c>
      <c r="P354" t="str">
        <f>IF(AND(Table3[[#This Row],[Performance]]&lt;=2,Table3[[#This Row],[Attrition]]="No"),"High Risk","Stable")</f>
        <v>High Risk</v>
      </c>
    </row>
    <row r="355" spans="1:16" x14ac:dyDescent="0.25">
      <c r="A355" t="s">
        <v>416</v>
      </c>
      <c r="B355" t="s">
        <v>199</v>
      </c>
      <c r="C355" t="s">
        <v>21</v>
      </c>
      <c r="D355">
        <v>25</v>
      </c>
      <c r="E355" t="s">
        <v>15</v>
      </c>
      <c r="F355" t="s">
        <v>71</v>
      </c>
      <c r="G355">
        <v>58680</v>
      </c>
      <c r="H355">
        <v>4</v>
      </c>
      <c r="I355" s="1">
        <v>43227</v>
      </c>
      <c r="J355">
        <v>4</v>
      </c>
      <c r="K355" t="s">
        <v>42</v>
      </c>
      <c r="L355" t="s">
        <v>50</v>
      </c>
      <c r="M355" t="str">
        <f>IF(Table3[[#This Row],[Age]]&lt;30,"Young",IF(Table3[[#This Row],[Age]]&lt;=40,"Mid","Senior"))</f>
        <v>Young</v>
      </c>
      <c r="N355" t="str">
        <f>IF(Table3[[#This Row],[Experience]]&lt;3,"Junior",IF(Table3[[#This Row],[Experience]]&lt;=7,"Mid","Senior"))</f>
        <v>Mid</v>
      </c>
      <c r="O355">
        <f>YEAR(Table3[[#This Row],[Joining_Date]])</f>
        <v>2018</v>
      </c>
      <c r="P355" t="str">
        <f>IF(AND(Table3[[#This Row],[Performance]]&lt;=2,Table3[[#This Row],[Attrition]]="No"),"High Risk","Stable")</f>
        <v>Stable</v>
      </c>
    </row>
    <row r="356" spans="1:16" x14ac:dyDescent="0.25">
      <c r="A356" t="s">
        <v>417</v>
      </c>
      <c r="B356" t="s">
        <v>23</v>
      </c>
      <c r="C356" t="s">
        <v>14</v>
      </c>
      <c r="D356">
        <v>40</v>
      </c>
      <c r="E356" t="s">
        <v>34</v>
      </c>
      <c r="F356" t="s">
        <v>74</v>
      </c>
      <c r="G356">
        <v>70346</v>
      </c>
      <c r="H356">
        <v>14</v>
      </c>
      <c r="I356" s="1">
        <v>43300</v>
      </c>
      <c r="J356">
        <v>2</v>
      </c>
      <c r="K356" t="s">
        <v>17</v>
      </c>
      <c r="L356" t="s">
        <v>39</v>
      </c>
      <c r="M356" t="str">
        <f>IF(Table3[[#This Row],[Age]]&lt;30,"Young",IF(Table3[[#This Row],[Age]]&lt;=40,"Mid","Senior"))</f>
        <v>Mid</v>
      </c>
      <c r="N356" t="str">
        <f>IF(Table3[[#This Row],[Experience]]&lt;3,"Junior",IF(Table3[[#This Row],[Experience]]&lt;=7,"Mid","Senior"))</f>
        <v>Senior</v>
      </c>
      <c r="O356">
        <f>YEAR(Table3[[#This Row],[Joining_Date]])</f>
        <v>2018</v>
      </c>
      <c r="P356" t="str">
        <f>IF(AND(Table3[[#This Row],[Performance]]&lt;=2,Table3[[#This Row],[Attrition]]="No"),"High Risk","Stable")</f>
        <v>High Risk</v>
      </c>
    </row>
    <row r="357" spans="1:16" x14ac:dyDescent="0.25">
      <c r="A357" t="s">
        <v>418</v>
      </c>
      <c r="B357" t="s">
        <v>126</v>
      </c>
      <c r="C357" t="s">
        <v>21</v>
      </c>
      <c r="D357">
        <v>36</v>
      </c>
      <c r="E357" t="s">
        <v>34</v>
      </c>
      <c r="F357" t="s">
        <v>41</v>
      </c>
      <c r="G357">
        <v>56430</v>
      </c>
      <c r="H357">
        <v>8</v>
      </c>
      <c r="I357" s="1">
        <v>45122</v>
      </c>
      <c r="J357">
        <v>2</v>
      </c>
      <c r="K357" t="s">
        <v>17</v>
      </c>
      <c r="L357" t="s">
        <v>31</v>
      </c>
      <c r="M357" t="str">
        <f>IF(Table3[[#This Row],[Age]]&lt;30,"Young",IF(Table3[[#This Row],[Age]]&lt;=40,"Mid","Senior"))</f>
        <v>Mid</v>
      </c>
      <c r="N357" t="str">
        <f>IF(Table3[[#This Row],[Experience]]&lt;3,"Junior",IF(Table3[[#This Row],[Experience]]&lt;=7,"Mid","Senior"))</f>
        <v>Senior</v>
      </c>
      <c r="O357">
        <f>YEAR(Table3[[#This Row],[Joining_Date]])</f>
        <v>2023</v>
      </c>
      <c r="P357" t="str">
        <f>IF(AND(Table3[[#This Row],[Performance]]&lt;=2,Table3[[#This Row],[Attrition]]="No"),"High Risk","Stable")</f>
        <v>High Risk</v>
      </c>
    </row>
    <row r="358" spans="1:16" x14ac:dyDescent="0.25">
      <c r="A358" t="s">
        <v>419</v>
      </c>
      <c r="B358" t="s">
        <v>45</v>
      </c>
      <c r="C358" t="s">
        <v>14</v>
      </c>
      <c r="D358">
        <v>35</v>
      </c>
      <c r="E358" t="s">
        <v>34</v>
      </c>
      <c r="F358" t="s">
        <v>52</v>
      </c>
      <c r="G358">
        <v>74280</v>
      </c>
      <c r="H358">
        <v>14</v>
      </c>
      <c r="I358" s="1">
        <v>42024</v>
      </c>
      <c r="J358">
        <v>1</v>
      </c>
      <c r="K358" t="s">
        <v>17</v>
      </c>
      <c r="L358" t="s">
        <v>31</v>
      </c>
      <c r="M358" t="str">
        <f>IF(Table3[[#This Row],[Age]]&lt;30,"Young",IF(Table3[[#This Row],[Age]]&lt;=40,"Mid","Senior"))</f>
        <v>Mid</v>
      </c>
      <c r="N358" t="str">
        <f>IF(Table3[[#This Row],[Experience]]&lt;3,"Junior",IF(Table3[[#This Row],[Experience]]&lt;=7,"Mid","Senior"))</f>
        <v>Senior</v>
      </c>
      <c r="O358">
        <f>YEAR(Table3[[#This Row],[Joining_Date]])</f>
        <v>2015</v>
      </c>
      <c r="P358" t="str">
        <f>IF(AND(Table3[[#This Row],[Performance]]&lt;=2,Table3[[#This Row],[Attrition]]="No"),"High Risk","Stable")</f>
        <v>High Risk</v>
      </c>
    </row>
    <row r="359" spans="1:16" x14ac:dyDescent="0.25">
      <c r="A359" t="s">
        <v>420</v>
      </c>
      <c r="B359" t="s">
        <v>126</v>
      </c>
      <c r="C359" t="s">
        <v>21</v>
      </c>
      <c r="D359">
        <v>42</v>
      </c>
      <c r="E359" t="s">
        <v>24</v>
      </c>
      <c r="F359" t="s">
        <v>46</v>
      </c>
      <c r="G359">
        <v>58207</v>
      </c>
      <c r="H359">
        <v>7</v>
      </c>
      <c r="I359" s="1">
        <v>44845</v>
      </c>
      <c r="J359">
        <v>3</v>
      </c>
      <c r="K359" t="s">
        <v>17</v>
      </c>
      <c r="L359" t="s">
        <v>31</v>
      </c>
      <c r="M359" t="str">
        <f>IF(Table3[[#This Row],[Age]]&lt;30,"Young",IF(Table3[[#This Row],[Age]]&lt;=40,"Mid","Senior"))</f>
        <v>Senior</v>
      </c>
      <c r="N359" t="str">
        <f>IF(Table3[[#This Row],[Experience]]&lt;3,"Junior",IF(Table3[[#This Row],[Experience]]&lt;=7,"Mid","Senior"))</f>
        <v>Mid</v>
      </c>
      <c r="O359">
        <f>YEAR(Table3[[#This Row],[Joining_Date]])</f>
        <v>2022</v>
      </c>
      <c r="P359" t="str">
        <f>IF(AND(Table3[[#This Row],[Performance]]&lt;=2,Table3[[#This Row],[Attrition]]="No"),"High Risk","Stable")</f>
        <v>Stable</v>
      </c>
    </row>
    <row r="360" spans="1:16" x14ac:dyDescent="0.25">
      <c r="A360" t="s">
        <v>421</v>
      </c>
      <c r="B360" t="s">
        <v>60</v>
      </c>
      <c r="C360" t="s">
        <v>21</v>
      </c>
      <c r="D360">
        <v>23</v>
      </c>
      <c r="E360" t="s">
        <v>67</v>
      </c>
      <c r="F360" t="s">
        <v>76</v>
      </c>
      <c r="G360">
        <v>44764</v>
      </c>
      <c r="H360">
        <v>2</v>
      </c>
      <c r="I360" s="1">
        <v>43872</v>
      </c>
      <c r="J360">
        <v>5</v>
      </c>
      <c r="K360" t="s">
        <v>17</v>
      </c>
      <c r="L360" t="s">
        <v>36</v>
      </c>
      <c r="M360" t="str">
        <f>IF(Table3[[#This Row],[Age]]&lt;30,"Young",IF(Table3[[#This Row],[Age]]&lt;=40,"Mid","Senior"))</f>
        <v>Young</v>
      </c>
      <c r="N360" t="str">
        <f>IF(Table3[[#This Row],[Experience]]&lt;3,"Junior",IF(Table3[[#This Row],[Experience]]&lt;=7,"Mid","Senior"))</f>
        <v>Junior</v>
      </c>
      <c r="O360">
        <f>YEAR(Table3[[#This Row],[Joining_Date]])</f>
        <v>2020</v>
      </c>
      <c r="P360" t="str">
        <f>IF(AND(Table3[[#This Row],[Performance]]&lt;=2,Table3[[#This Row],[Attrition]]="No"),"High Risk","Stable")</f>
        <v>Stable</v>
      </c>
    </row>
    <row r="361" spans="1:16" x14ac:dyDescent="0.25">
      <c r="A361" t="s">
        <v>422</v>
      </c>
      <c r="B361" t="s">
        <v>58</v>
      </c>
      <c r="C361" t="s">
        <v>14</v>
      </c>
      <c r="D361">
        <v>33</v>
      </c>
      <c r="E361" t="s">
        <v>67</v>
      </c>
      <c r="F361" t="s">
        <v>68</v>
      </c>
      <c r="G361">
        <v>52701</v>
      </c>
      <c r="H361">
        <v>6</v>
      </c>
      <c r="I361" s="1">
        <v>45888</v>
      </c>
      <c r="J361">
        <v>4</v>
      </c>
      <c r="K361" t="s">
        <v>42</v>
      </c>
      <c r="L361" t="s">
        <v>50</v>
      </c>
      <c r="M361" t="str">
        <f>IF(Table3[[#This Row],[Age]]&lt;30,"Young",IF(Table3[[#This Row],[Age]]&lt;=40,"Mid","Senior"))</f>
        <v>Mid</v>
      </c>
      <c r="N361" t="str">
        <f>IF(Table3[[#This Row],[Experience]]&lt;3,"Junior",IF(Table3[[#This Row],[Experience]]&lt;=7,"Mid","Senior"))</f>
        <v>Mid</v>
      </c>
      <c r="O361">
        <f>YEAR(Table3[[#This Row],[Joining_Date]])</f>
        <v>2025</v>
      </c>
      <c r="P361" t="str">
        <f>IF(AND(Table3[[#This Row],[Performance]]&lt;=2,Table3[[#This Row],[Attrition]]="No"),"High Risk","Stable")</f>
        <v>Stable</v>
      </c>
    </row>
    <row r="362" spans="1:16" x14ac:dyDescent="0.25">
      <c r="A362" t="s">
        <v>423</v>
      </c>
      <c r="B362" t="s">
        <v>66</v>
      </c>
      <c r="C362" t="s">
        <v>21</v>
      </c>
      <c r="D362">
        <v>38</v>
      </c>
      <c r="E362" t="s">
        <v>34</v>
      </c>
      <c r="F362" t="s">
        <v>74</v>
      </c>
      <c r="G362">
        <v>47517</v>
      </c>
      <c r="H362">
        <v>5</v>
      </c>
      <c r="I362" s="1">
        <v>43506</v>
      </c>
      <c r="J362">
        <v>1</v>
      </c>
      <c r="K362" t="s">
        <v>42</v>
      </c>
      <c r="L362" t="s">
        <v>39</v>
      </c>
      <c r="M362" t="str">
        <f>IF(Table3[[#This Row],[Age]]&lt;30,"Young",IF(Table3[[#This Row],[Age]]&lt;=40,"Mid","Senior"))</f>
        <v>Mid</v>
      </c>
      <c r="N362" t="str">
        <f>IF(Table3[[#This Row],[Experience]]&lt;3,"Junior",IF(Table3[[#This Row],[Experience]]&lt;=7,"Mid","Senior"))</f>
        <v>Mid</v>
      </c>
      <c r="O362">
        <f>YEAR(Table3[[#This Row],[Joining_Date]])</f>
        <v>2019</v>
      </c>
      <c r="P362" t="str">
        <f>IF(AND(Table3[[#This Row],[Performance]]&lt;=2,Table3[[#This Row],[Attrition]]="No"),"High Risk","Stable")</f>
        <v>Stable</v>
      </c>
    </row>
    <row r="363" spans="1:16" x14ac:dyDescent="0.25">
      <c r="A363" t="s">
        <v>424</v>
      </c>
      <c r="B363" t="s">
        <v>63</v>
      </c>
      <c r="C363" t="s">
        <v>21</v>
      </c>
      <c r="D363">
        <v>42</v>
      </c>
      <c r="E363" t="s">
        <v>24</v>
      </c>
      <c r="F363" t="s">
        <v>25</v>
      </c>
      <c r="G363">
        <v>37790</v>
      </c>
      <c r="H363">
        <v>0</v>
      </c>
      <c r="I363" s="1">
        <v>44830</v>
      </c>
      <c r="J363">
        <v>1</v>
      </c>
      <c r="K363" t="s">
        <v>42</v>
      </c>
      <c r="L363" t="s">
        <v>18</v>
      </c>
      <c r="M363" t="str">
        <f>IF(Table3[[#This Row],[Age]]&lt;30,"Young",IF(Table3[[#This Row],[Age]]&lt;=40,"Mid","Senior"))</f>
        <v>Senior</v>
      </c>
      <c r="N363" t="str">
        <f>IF(Table3[[#This Row],[Experience]]&lt;3,"Junior",IF(Table3[[#This Row],[Experience]]&lt;=7,"Mid","Senior"))</f>
        <v>Junior</v>
      </c>
      <c r="O363">
        <f>YEAR(Table3[[#This Row],[Joining_Date]])</f>
        <v>2022</v>
      </c>
      <c r="P363" t="str">
        <f>IF(AND(Table3[[#This Row],[Performance]]&lt;=2,Table3[[#This Row],[Attrition]]="No"),"High Risk","Stable")</f>
        <v>Stable</v>
      </c>
    </row>
    <row r="364" spans="1:16" x14ac:dyDescent="0.25">
      <c r="A364" t="s">
        <v>425</v>
      </c>
      <c r="B364" t="s">
        <v>58</v>
      </c>
      <c r="C364" t="s">
        <v>14</v>
      </c>
      <c r="D364">
        <v>44</v>
      </c>
      <c r="E364" t="s">
        <v>15</v>
      </c>
      <c r="F364" t="s">
        <v>30</v>
      </c>
      <c r="G364">
        <v>53366</v>
      </c>
      <c r="H364">
        <v>4</v>
      </c>
      <c r="I364" s="1">
        <v>44852</v>
      </c>
      <c r="J364">
        <v>1</v>
      </c>
      <c r="K364" t="s">
        <v>42</v>
      </c>
      <c r="L364" t="s">
        <v>39</v>
      </c>
      <c r="M364" t="str">
        <f>IF(Table3[[#This Row],[Age]]&lt;30,"Young",IF(Table3[[#This Row],[Age]]&lt;=40,"Mid","Senior"))</f>
        <v>Senior</v>
      </c>
      <c r="N364" t="str">
        <f>IF(Table3[[#This Row],[Experience]]&lt;3,"Junior",IF(Table3[[#This Row],[Experience]]&lt;=7,"Mid","Senior"))</f>
        <v>Mid</v>
      </c>
      <c r="O364">
        <f>YEAR(Table3[[#This Row],[Joining_Date]])</f>
        <v>2022</v>
      </c>
      <c r="P364" t="str">
        <f>IF(AND(Table3[[#This Row],[Performance]]&lt;=2,Table3[[#This Row],[Attrition]]="No"),"High Risk","Stable")</f>
        <v>Stable</v>
      </c>
    </row>
    <row r="365" spans="1:16" x14ac:dyDescent="0.25">
      <c r="A365" t="s">
        <v>426</v>
      </c>
      <c r="B365" t="s">
        <v>27</v>
      </c>
      <c r="C365" t="s">
        <v>14</v>
      </c>
      <c r="D365">
        <v>41</v>
      </c>
      <c r="E365" t="s">
        <v>15</v>
      </c>
      <c r="F365" t="s">
        <v>30</v>
      </c>
      <c r="G365">
        <v>56862</v>
      </c>
      <c r="H365">
        <v>4</v>
      </c>
      <c r="I365" s="1">
        <v>45407</v>
      </c>
      <c r="J365">
        <v>1</v>
      </c>
      <c r="K365" t="s">
        <v>17</v>
      </c>
      <c r="L365" t="s">
        <v>36</v>
      </c>
      <c r="M365" t="str">
        <f>IF(Table3[[#This Row],[Age]]&lt;30,"Young",IF(Table3[[#This Row],[Age]]&lt;=40,"Mid","Senior"))</f>
        <v>Senior</v>
      </c>
      <c r="N365" t="str">
        <f>IF(Table3[[#This Row],[Experience]]&lt;3,"Junior",IF(Table3[[#This Row],[Experience]]&lt;=7,"Mid","Senior"))</f>
        <v>Mid</v>
      </c>
      <c r="O365">
        <f>YEAR(Table3[[#This Row],[Joining_Date]])</f>
        <v>2024</v>
      </c>
      <c r="P365" t="str">
        <f>IF(AND(Table3[[#This Row],[Performance]]&lt;=2,Table3[[#This Row],[Attrition]]="No"),"High Risk","Stable")</f>
        <v>High Risk</v>
      </c>
    </row>
    <row r="366" spans="1:16" x14ac:dyDescent="0.25">
      <c r="A366" t="s">
        <v>427</v>
      </c>
      <c r="B366" t="s">
        <v>20</v>
      </c>
      <c r="C366" t="s">
        <v>14</v>
      </c>
      <c r="D366">
        <v>41</v>
      </c>
      <c r="E366" t="s">
        <v>15</v>
      </c>
      <c r="F366" t="s">
        <v>16</v>
      </c>
      <c r="G366">
        <v>67746</v>
      </c>
      <c r="H366">
        <v>6</v>
      </c>
      <c r="I366" s="1">
        <v>43082</v>
      </c>
      <c r="J366">
        <v>5</v>
      </c>
      <c r="K366" t="s">
        <v>17</v>
      </c>
      <c r="L366" t="s">
        <v>36</v>
      </c>
      <c r="M366" t="str">
        <f>IF(Table3[[#This Row],[Age]]&lt;30,"Young",IF(Table3[[#This Row],[Age]]&lt;=40,"Mid","Senior"))</f>
        <v>Senior</v>
      </c>
      <c r="N366" t="str">
        <f>IF(Table3[[#This Row],[Experience]]&lt;3,"Junior",IF(Table3[[#This Row],[Experience]]&lt;=7,"Mid","Senior"))</f>
        <v>Mid</v>
      </c>
      <c r="O366">
        <f>YEAR(Table3[[#This Row],[Joining_Date]])</f>
        <v>2017</v>
      </c>
      <c r="P366" t="str">
        <f>IF(AND(Table3[[#This Row],[Performance]]&lt;=2,Table3[[#This Row],[Attrition]]="No"),"High Risk","Stable")</f>
        <v>Stable</v>
      </c>
    </row>
    <row r="367" spans="1:16" x14ac:dyDescent="0.25">
      <c r="A367" t="s">
        <v>428</v>
      </c>
      <c r="B367" t="s">
        <v>78</v>
      </c>
      <c r="C367" t="s">
        <v>21</v>
      </c>
      <c r="D367">
        <v>39</v>
      </c>
      <c r="E367" t="s">
        <v>67</v>
      </c>
      <c r="F367" t="s">
        <v>76</v>
      </c>
      <c r="G367">
        <v>75902</v>
      </c>
      <c r="H367">
        <v>15</v>
      </c>
      <c r="I367" s="1">
        <v>44823</v>
      </c>
      <c r="J367">
        <v>4</v>
      </c>
      <c r="K367" t="s">
        <v>17</v>
      </c>
      <c r="L367" t="s">
        <v>31</v>
      </c>
      <c r="M367" t="str">
        <f>IF(Table3[[#This Row],[Age]]&lt;30,"Young",IF(Table3[[#This Row],[Age]]&lt;=40,"Mid","Senior"))</f>
        <v>Mid</v>
      </c>
      <c r="N367" t="str">
        <f>IF(Table3[[#This Row],[Experience]]&lt;3,"Junior",IF(Table3[[#This Row],[Experience]]&lt;=7,"Mid","Senior"))</f>
        <v>Senior</v>
      </c>
      <c r="O367">
        <f>YEAR(Table3[[#This Row],[Joining_Date]])</f>
        <v>2022</v>
      </c>
      <c r="P367" t="str">
        <f>IF(AND(Table3[[#This Row],[Performance]]&lt;=2,Table3[[#This Row],[Attrition]]="No"),"High Risk","Stable")</f>
        <v>Stable</v>
      </c>
    </row>
    <row r="368" spans="1:16" x14ac:dyDescent="0.25">
      <c r="A368" t="s">
        <v>429</v>
      </c>
      <c r="B368" t="s">
        <v>66</v>
      </c>
      <c r="C368" t="s">
        <v>21</v>
      </c>
      <c r="D368">
        <v>43</v>
      </c>
      <c r="E368" t="s">
        <v>15</v>
      </c>
      <c r="F368" t="s">
        <v>16</v>
      </c>
      <c r="G368">
        <v>79943</v>
      </c>
      <c r="H368">
        <v>15</v>
      </c>
      <c r="I368" s="1">
        <v>45893</v>
      </c>
      <c r="J368">
        <v>1</v>
      </c>
      <c r="K368" t="s">
        <v>42</v>
      </c>
      <c r="L368" t="s">
        <v>39</v>
      </c>
      <c r="M368" t="str">
        <f>IF(Table3[[#This Row],[Age]]&lt;30,"Young",IF(Table3[[#This Row],[Age]]&lt;=40,"Mid","Senior"))</f>
        <v>Senior</v>
      </c>
      <c r="N368" t="str">
        <f>IF(Table3[[#This Row],[Experience]]&lt;3,"Junior",IF(Table3[[#This Row],[Experience]]&lt;=7,"Mid","Senior"))</f>
        <v>Senior</v>
      </c>
      <c r="O368">
        <f>YEAR(Table3[[#This Row],[Joining_Date]])</f>
        <v>2025</v>
      </c>
      <c r="P368" t="str">
        <f>IF(AND(Table3[[#This Row],[Performance]]&lt;=2,Table3[[#This Row],[Attrition]]="No"),"High Risk","Stable")</f>
        <v>Stable</v>
      </c>
    </row>
    <row r="369" spans="1:16" x14ac:dyDescent="0.25">
      <c r="A369" t="s">
        <v>430</v>
      </c>
      <c r="B369" t="s">
        <v>101</v>
      </c>
      <c r="C369" t="s">
        <v>21</v>
      </c>
      <c r="D369">
        <v>31</v>
      </c>
      <c r="E369" t="s">
        <v>15</v>
      </c>
      <c r="F369" t="s">
        <v>28</v>
      </c>
      <c r="G369">
        <v>67606</v>
      </c>
      <c r="H369">
        <v>8</v>
      </c>
      <c r="I369" s="1">
        <v>42210</v>
      </c>
      <c r="J369">
        <v>1</v>
      </c>
      <c r="K369" t="s">
        <v>17</v>
      </c>
      <c r="L369" t="s">
        <v>36</v>
      </c>
      <c r="M369" t="str">
        <f>IF(Table3[[#This Row],[Age]]&lt;30,"Young",IF(Table3[[#This Row],[Age]]&lt;=40,"Mid","Senior"))</f>
        <v>Mid</v>
      </c>
      <c r="N369" t="str">
        <f>IF(Table3[[#This Row],[Experience]]&lt;3,"Junior",IF(Table3[[#This Row],[Experience]]&lt;=7,"Mid","Senior"))</f>
        <v>Senior</v>
      </c>
      <c r="O369">
        <f>YEAR(Table3[[#This Row],[Joining_Date]])</f>
        <v>2015</v>
      </c>
      <c r="P369" t="str">
        <f>IF(AND(Table3[[#This Row],[Performance]]&lt;=2,Table3[[#This Row],[Attrition]]="No"),"High Risk","Stable")</f>
        <v>High Risk</v>
      </c>
    </row>
    <row r="370" spans="1:16" x14ac:dyDescent="0.25">
      <c r="A370" t="s">
        <v>431</v>
      </c>
      <c r="B370" t="s">
        <v>63</v>
      </c>
      <c r="C370" t="s">
        <v>14</v>
      </c>
      <c r="D370">
        <v>25</v>
      </c>
      <c r="E370" t="s">
        <v>24</v>
      </c>
      <c r="F370" t="s">
        <v>124</v>
      </c>
      <c r="G370">
        <v>39658</v>
      </c>
      <c r="H370">
        <v>1</v>
      </c>
      <c r="I370" s="1">
        <v>45494</v>
      </c>
      <c r="J370">
        <v>2</v>
      </c>
      <c r="K370" t="s">
        <v>17</v>
      </c>
      <c r="L370" t="s">
        <v>36</v>
      </c>
      <c r="M370" t="str">
        <f>IF(Table3[[#This Row],[Age]]&lt;30,"Young",IF(Table3[[#This Row],[Age]]&lt;=40,"Mid","Senior"))</f>
        <v>Young</v>
      </c>
      <c r="N370" t="str">
        <f>IF(Table3[[#This Row],[Experience]]&lt;3,"Junior",IF(Table3[[#This Row],[Experience]]&lt;=7,"Mid","Senior"))</f>
        <v>Junior</v>
      </c>
      <c r="O370">
        <f>YEAR(Table3[[#This Row],[Joining_Date]])</f>
        <v>2024</v>
      </c>
      <c r="P370" t="str">
        <f>IF(AND(Table3[[#This Row],[Performance]]&lt;=2,Table3[[#This Row],[Attrition]]="No"),"High Risk","Stable")</f>
        <v>High Risk</v>
      </c>
    </row>
    <row r="371" spans="1:16" x14ac:dyDescent="0.25">
      <c r="A371" t="s">
        <v>432</v>
      </c>
      <c r="B371" t="s">
        <v>48</v>
      </c>
      <c r="C371" t="s">
        <v>21</v>
      </c>
      <c r="D371">
        <v>32</v>
      </c>
      <c r="E371" t="s">
        <v>67</v>
      </c>
      <c r="F371" t="s">
        <v>76</v>
      </c>
      <c r="G371">
        <v>49365</v>
      </c>
      <c r="H371">
        <v>5</v>
      </c>
      <c r="I371" s="1">
        <v>43646</v>
      </c>
      <c r="J371">
        <v>4</v>
      </c>
      <c r="K371" t="s">
        <v>17</v>
      </c>
      <c r="L371" t="s">
        <v>36</v>
      </c>
      <c r="M371" t="str">
        <f>IF(Table3[[#This Row],[Age]]&lt;30,"Young",IF(Table3[[#This Row],[Age]]&lt;=40,"Mid","Senior"))</f>
        <v>Mid</v>
      </c>
      <c r="N371" t="str">
        <f>IF(Table3[[#This Row],[Experience]]&lt;3,"Junior",IF(Table3[[#This Row],[Experience]]&lt;=7,"Mid","Senior"))</f>
        <v>Mid</v>
      </c>
      <c r="O371">
        <f>YEAR(Table3[[#This Row],[Joining_Date]])</f>
        <v>2019</v>
      </c>
      <c r="P371" t="str">
        <f>IF(AND(Table3[[#This Row],[Performance]]&lt;=2,Table3[[#This Row],[Attrition]]="No"),"High Risk","Stable")</f>
        <v>Stable</v>
      </c>
    </row>
    <row r="372" spans="1:16" x14ac:dyDescent="0.25">
      <c r="A372" t="s">
        <v>433</v>
      </c>
      <c r="B372" t="s">
        <v>91</v>
      </c>
      <c r="C372" t="s">
        <v>14</v>
      </c>
      <c r="D372">
        <v>25</v>
      </c>
      <c r="E372" t="s">
        <v>67</v>
      </c>
      <c r="F372" t="s">
        <v>110</v>
      </c>
      <c r="G372">
        <v>56406</v>
      </c>
      <c r="H372">
        <v>4</v>
      </c>
      <c r="I372" s="1">
        <v>44980</v>
      </c>
      <c r="J372">
        <v>1</v>
      </c>
      <c r="K372" t="s">
        <v>17</v>
      </c>
      <c r="L372" t="s">
        <v>31</v>
      </c>
      <c r="M372" t="str">
        <f>IF(Table3[[#This Row],[Age]]&lt;30,"Young",IF(Table3[[#This Row],[Age]]&lt;=40,"Mid","Senior"))</f>
        <v>Young</v>
      </c>
      <c r="N372" t="str">
        <f>IF(Table3[[#This Row],[Experience]]&lt;3,"Junior",IF(Table3[[#This Row],[Experience]]&lt;=7,"Mid","Senior"))</f>
        <v>Mid</v>
      </c>
      <c r="O372">
        <f>YEAR(Table3[[#This Row],[Joining_Date]])</f>
        <v>2023</v>
      </c>
      <c r="P372" t="str">
        <f>IF(AND(Table3[[#This Row],[Performance]]&lt;=2,Table3[[#This Row],[Attrition]]="No"),"High Risk","Stable")</f>
        <v>High Risk</v>
      </c>
    </row>
    <row r="373" spans="1:16" x14ac:dyDescent="0.25">
      <c r="A373" t="s">
        <v>434</v>
      </c>
      <c r="B373" t="s">
        <v>91</v>
      </c>
      <c r="C373" t="s">
        <v>14</v>
      </c>
      <c r="D373">
        <v>41</v>
      </c>
      <c r="E373" t="s">
        <v>67</v>
      </c>
      <c r="F373" t="s">
        <v>110</v>
      </c>
      <c r="G373">
        <v>77765</v>
      </c>
      <c r="H373">
        <v>12</v>
      </c>
      <c r="I373" s="1">
        <v>43473</v>
      </c>
      <c r="J373">
        <v>5</v>
      </c>
      <c r="K373" t="s">
        <v>42</v>
      </c>
      <c r="L373" t="s">
        <v>39</v>
      </c>
      <c r="M373" t="str">
        <f>IF(Table3[[#This Row],[Age]]&lt;30,"Young",IF(Table3[[#This Row],[Age]]&lt;=40,"Mid","Senior"))</f>
        <v>Senior</v>
      </c>
      <c r="N373" t="str">
        <f>IF(Table3[[#This Row],[Experience]]&lt;3,"Junior",IF(Table3[[#This Row],[Experience]]&lt;=7,"Mid","Senior"))</f>
        <v>Senior</v>
      </c>
      <c r="O373">
        <f>YEAR(Table3[[#This Row],[Joining_Date]])</f>
        <v>2019</v>
      </c>
      <c r="P373" t="str">
        <f>IF(AND(Table3[[#This Row],[Performance]]&lt;=2,Table3[[#This Row],[Attrition]]="No"),"High Risk","Stable")</f>
        <v>Stable</v>
      </c>
    </row>
    <row r="374" spans="1:16" x14ac:dyDescent="0.25">
      <c r="A374" t="s">
        <v>435</v>
      </c>
      <c r="B374" t="s">
        <v>63</v>
      </c>
      <c r="C374" t="s">
        <v>14</v>
      </c>
      <c r="D374">
        <v>35</v>
      </c>
      <c r="E374" t="s">
        <v>34</v>
      </c>
      <c r="F374" t="s">
        <v>52</v>
      </c>
      <c r="G374">
        <v>68753</v>
      </c>
      <c r="H374">
        <v>14</v>
      </c>
      <c r="I374" s="1">
        <v>42264</v>
      </c>
      <c r="J374">
        <v>3</v>
      </c>
      <c r="K374" t="s">
        <v>17</v>
      </c>
      <c r="L374" t="s">
        <v>31</v>
      </c>
      <c r="M374" t="str">
        <f>IF(Table3[[#This Row],[Age]]&lt;30,"Young",IF(Table3[[#This Row],[Age]]&lt;=40,"Mid","Senior"))</f>
        <v>Mid</v>
      </c>
      <c r="N374" t="str">
        <f>IF(Table3[[#This Row],[Experience]]&lt;3,"Junior",IF(Table3[[#This Row],[Experience]]&lt;=7,"Mid","Senior"))</f>
        <v>Senior</v>
      </c>
      <c r="O374">
        <f>YEAR(Table3[[#This Row],[Joining_Date]])</f>
        <v>2015</v>
      </c>
      <c r="P374" t="str">
        <f>IF(AND(Table3[[#This Row],[Performance]]&lt;=2,Table3[[#This Row],[Attrition]]="No"),"High Risk","Stable")</f>
        <v>Stable</v>
      </c>
    </row>
    <row r="375" spans="1:16" x14ac:dyDescent="0.25">
      <c r="A375" t="s">
        <v>436</v>
      </c>
      <c r="B375" t="s">
        <v>23</v>
      </c>
      <c r="C375" t="s">
        <v>21</v>
      </c>
      <c r="D375">
        <v>43</v>
      </c>
      <c r="E375" t="s">
        <v>34</v>
      </c>
      <c r="F375" t="s">
        <v>41</v>
      </c>
      <c r="G375">
        <v>58395</v>
      </c>
      <c r="H375">
        <v>7</v>
      </c>
      <c r="I375" s="1">
        <v>43421</v>
      </c>
      <c r="J375">
        <v>4</v>
      </c>
      <c r="K375" t="s">
        <v>17</v>
      </c>
      <c r="L375" t="s">
        <v>43</v>
      </c>
      <c r="M375" t="str">
        <f>IF(Table3[[#This Row],[Age]]&lt;30,"Young",IF(Table3[[#This Row],[Age]]&lt;=40,"Mid","Senior"))</f>
        <v>Senior</v>
      </c>
      <c r="N375" t="str">
        <f>IF(Table3[[#This Row],[Experience]]&lt;3,"Junior",IF(Table3[[#This Row],[Experience]]&lt;=7,"Mid","Senior"))</f>
        <v>Mid</v>
      </c>
      <c r="O375">
        <f>YEAR(Table3[[#This Row],[Joining_Date]])</f>
        <v>2018</v>
      </c>
      <c r="P375" t="str">
        <f>IF(AND(Table3[[#This Row],[Performance]]&lt;=2,Table3[[#This Row],[Attrition]]="No"),"High Risk","Stable")</f>
        <v>Stable</v>
      </c>
    </row>
    <row r="376" spans="1:16" x14ac:dyDescent="0.25">
      <c r="A376" t="s">
        <v>437</v>
      </c>
      <c r="B376" t="s">
        <v>199</v>
      </c>
      <c r="C376" t="s">
        <v>21</v>
      </c>
      <c r="D376">
        <v>37</v>
      </c>
      <c r="E376" t="s">
        <v>15</v>
      </c>
      <c r="F376" t="s">
        <v>16</v>
      </c>
      <c r="G376">
        <v>80209</v>
      </c>
      <c r="H376">
        <v>15</v>
      </c>
      <c r="I376" s="1">
        <v>42311</v>
      </c>
      <c r="J376">
        <v>4</v>
      </c>
      <c r="K376" t="s">
        <v>17</v>
      </c>
      <c r="L376" t="s">
        <v>36</v>
      </c>
      <c r="M376" t="str">
        <f>IF(Table3[[#This Row],[Age]]&lt;30,"Young",IF(Table3[[#This Row],[Age]]&lt;=40,"Mid","Senior"))</f>
        <v>Mid</v>
      </c>
      <c r="N376" t="str">
        <f>IF(Table3[[#This Row],[Experience]]&lt;3,"Junior",IF(Table3[[#This Row],[Experience]]&lt;=7,"Mid","Senior"))</f>
        <v>Senior</v>
      </c>
      <c r="O376">
        <f>YEAR(Table3[[#This Row],[Joining_Date]])</f>
        <v>2015</v>
      </c>
      <c r="P376" t="str">
        <f>IF(AND(Table3[[#This Row],[Performance]]&lt;=2,Table3[[#This Row],[Attrition]]="No"),"High Risk","Stable")</f>
        <v>Stable</v>
      </c>
    </row>
    <row r="377" spans="1:16" x14ac:dyDescent="0.25">
      <c r="A377" t="s">
        <v>438</v>
      </c>
      <c r="B377" t="s">
        <v>38</v>
      </c>
      <c r="C377" t="s">
        <v>21</v>
      </c>
      <c r="D377">
        <v>42</v>
      </c>
      <c r="E377" t="s">
        <v>24</v>
      </c>
      <c r="F377" t="s">
        <v>25</v>
      </c>
      <c r="G377">
        <v>73607</v>
      </c>
      <c r="H377">
        <v>12</v>
      </c>
      <c r="I377" s="1">
        <v>45351</v>
      </c>
      <c r="J377">
        <v>2</v>
      </c>
      <c r="K377" t="s">
        <v>42</v>
      </c>
      <c r="L377" t="s">
        <v>18</v>
      </c>
      <c r="M377" t="str">
        <f>IF(Table3[[#This Row],[Age]]&lt;30,"Young",IF(Table3[[#This Row],[Age]]&lt;=40,"Mid","Senior"))</f>
        <v>Senior</v>
      </c>
      <c r="N377" t="str">
        <f>IF(Table3[[#This Row],[Experience]]&lt;3,"Junior",IF(Table3[[#This Row],[Experience]]&lt;=7,"Mid","Senior"))</f>
        <v>Senior</v>
      </c>
      <c r="O377">
        <f>YEAR(Table3[[#This Row],[Joining_Date]])</f>
        <v>2024</v>
      </c>
      <c r="P377" t="str">
        <f>IF(AND(Table3[[#This Row],[Performance]]&lt;=2,Table3[[#This Row],[Attrition]]="No"),"High Risk","Stable")</f>
        <v>Stable</v>
      </c>
    </row>
    <row r="378" spans="1:16" x14ac:dyDescent="0.25">
      <c r="A378" t="s">
        <v>439</v>
      </c>
      <c r="B378" t="s">
        <v>101</v>
      </c>
      <c r="C378" t="s">
        <v>14</v>
      </c>
      <c r="D378">
        <v>32</v>
      </c>
      <c r="E378" t="s">
        <v>67</v>
      </c>
      <c r="F378" t="s">
        <v>97</v>
      </c>
      <c r="G378">
        <v>50648</v>
      </c>
      <c r="H378">
        <v>3</v>
      </c>
      <c r="I378" s="1">
        <v>45057</v>
      </c>
      <c r="J378">
        <v>1</v>
      </c>
      <c r="K378" t="s">
        <v>42</v>
      </c>
      <c r="L378" t="s">
        <v>18</v>
      </c>
      <c r="M378" t="str">
        <f>IF(Table3[[#This Row],[Age]]&lt;30,"Young",IF(Table3[[#This Row],[Age]]&lt;=40,"Mid","Senior"))</f>
        <v>Mid</v>
      </c>
      <c r="N378" t="str">
        <f>IF(Table3[[#This Row],[Experience]]&lt;3,"Junior",IF(Table3[[#This Row],[Experience]]&lt;=7,"Mid","Senior"))</f>
        <v>Mid</v>
      </c>
      <c r="O378">
        <f>YEAR(Table3[[#This Row],[Joining_Date]])</f>
        <v>2023</v>
      </c>
      <c r="P378" t="str">
        <f>IF(AND(Table3[[#This Row],[Performance]]&lt;=2,Table3[[#This Row],[Attrition]]="No"),"High Risk","Stable")</f>
        <v>Stable</v>
      </c>
    </row>
    <row r="379" spans="1:16" x14ac:dyDescent="0.25">
      <c r="A379" t="s">
        <v>440</v>
      </c>
      <c r="B379" t="s">
        <v>60</v>
      </c>
      <c r="C379" t="s">
        <v>21</v>
      </c>
      <c r="D379">
        <v>41</v>
      </c>
      <c r="E379" t="s">
        <v>15</v>
      </c>
      <c r="F379" t="s">
        <v>30</v>
      </c>
      <c r="G379">
        <v>70828</v>
      </c>
      <c r="H379">
        <v>9</v>
      </c>
      <c r="I379" s="1">
        <v>44308</v>
      </c>
      <c r="J379">
        <v>2</v>
      </c>
      <c r="K379" t="s">
        <v>17</v>
      </c>
      <c r="L379" t="s">
        <v>36</v>
      </c>
      <c r="M379" t="str">
        <f>IF(Table3[[#This Row],[Age]]&lt;30,"Young",IF(Table3[[#This Row],[Age]]&lt;=40,"Mid","Senior"))</f>
        <v>Senior</v>
      </c>
      <c r="N379" t="str">
        <f>IF(Table3[[#This Row],[Experience]]&lt;3,"Junior",IF(Table3[[#This Row],[Experience]]&lt;=7,"Mid","Senior"))</f>
        <v>Senior</v>
      </c>
      <c r="O379">
        <f>YEAR(Table3[[#This Row],[Joining_Date]])</f>
        <v>2021</v>
      </c>
      <c r="P379" t="str">
        <f>IF(AND(Table3[[#This Row],[Performance]]&lt;=2,Table3[[#This Row],[Attrition]]="No"),"High Risk","Stable")</f>
        <v>High Risk</v>
      </c>
    </row>
    <row r="380" spans="1:16" x14ac:dyDescent="0.25">
      <c r="A380" t="s">
        <v>441</v>
      </c>
      <c r="B380" t="s">
        <v>101</v>
      </c>
      <c r="C380" t="s">
        <v>21</v>
      </c>
      <c r="D380">
        <v>32</v>
      </c>
      <c r="E380" t="s">
        <v>24</v>
      </c>
      <c r="F380" t="s">
        <v>25</v>
      </c>
      <c r="G380">
        <v>76241</v>
      </c>
      <c r="H380">
        <v>11</v>
      </c>
      <c r="I380" s="1">
        <v>44696</v>
      </c>
      <c r="J380">
        <v>3</v>
      </c>
      <c r="K380" t="s">
        <v>17</v>
      </c>
      <c r="L380" t="s">
        <v>31</v>
      </c>
      <c r="M380" t="str">
        <f>IF(Table3[[#This Row],[Age]]&lt;30,"Young",IF(Table3[[#This Row],[Age]]&lt;=40,"Mid","Senior"))</f>
        <v>Mid</v>
      </c>
      <c r="N380" t="str">
        <f>IF(Table3[[#This Row],[Experience]]&lt;3,"Junior",IF(Table3[[#This Row],[Experience]]&lt;=7,"Mid","Senior"))</f>
        <v>Senior</v>
      </c>
      <c r="O380">
        <f>YEAR(Table3[[#This Row],[Joining_Date]])</f>
        <v>2022</v>
      </c>
      <c r="P380" t="str">
        <f>IF(AND(Table3[[#This Row],[Performance]]&lt;=2,Table3[[#This Row],[Attrition]]="No"),"High Risk","Stable")</f>
        <v>Stable</v>
      </c>
    </row>
    <row r="381" spans="1:16" x14ac:dyDescent="0.25">
      <c r="A381" t="s">
        <v>442</v>
      </c>
      <c r="B381" t="s">
        <v>54</v>
      </c>
      <c r="C381" t="s">
        <v>21</v>
      </c>
      <c r="D381">
        <v>33</v>
      </c>
      <c r="E381" t="s">
        <v>15</v>
      </c>
      <c r="F381" t="s">
        <v>80</v>
      </c>
      <c r="G381">
        <v>71473</v>
      </c>
      <c r="H381">
        <v>9</v>
      </c>
      <c r="I381" s="1">
        <v>44143</v>
      </c>
      <c r="J381">
        <v>3</v>
      </c>
      <c r="K381" t="s">
        <v>17</v>
      </c>
      <c r="L381" t="s">
        <v>31</v>
      </c>
      <c r="M381" t="str">
        <f>IF(Table3[[#This Row],[Age]]&lt;30,"Young",IF(Table3[[#This Row],[Age]]&lt;=40,"Mid","Senior"))</f>
        <v>Mid</v>
      </c>
      <c r="N381" t="str">
        <f>IF(Table3[[#This Row],[Experience]]&lt;3,"Junior",IF(Table3[[#This Row],[Experience]]&lt;=7,"Mid","Senior"))</f>
        <v>Senior</v>
      </c>
      <c r="O381">
        <f>YEAR(Table3[[#This Row],[Joining_Date]])</f>
        <v>2020</v>
      </c>
      <c r="P381" t="str">
        <f>IF(AND(Table3[[#This Row],[Performance]]&lt;=2,Table3[[#This Row],[Attrition]]="No"),"High Risk","Stable")</f>
        <v>Stable</v>
      </c>
    </row>
    <row r="382" spans="1:16" x14ac:dyDescent="0.25">
      <c r="A382" t="s">
        <v>443</v>
      </c>
      <c r="B382" t="s">
        <v>23</v>
      </c>
      <c r="C382" t="s">
        <v>21</v>
      </c>
      <c r="D382">
        <v>25</v>
      </c>
      <c r="E382" t="s">
        <v>34</v>
      </c>
      <c r="F382" t="s">
        <v>52</v>
      </c>
      <c r="G382">
        <v>53008</v>
      </c>
      <c r="H382">
        <v>4</v>
      </c>
      <c r="I382" s="1">
        <v>42807</v>
      </c>
      <c r="J382">
        <v>2</v>
      </c>
      <c r="K382" t="s">
        <v>42</v>
      </c>
      <c r="L382" t="s">
        <v>18</v>
      </c>
      <c r="M382" t="str">
        <f>IF(Table3[[#This Row],[Age]]&lt;30,"Young",IF(Table3[[#This Row],[Age]]&lt;=40,"Mid","Senior"))</f>
        <v>Young</v>
      </c>
      <c r="N382" t="str">
        <f>IF(Table3[[#This Row],[Experience]]&lt;3,"Junior",IF(Table3[[#This Row],[Experience]]&lt;=7,"Mid","Senior"))</f>
        <v>Mid</v>
      </c>
      <c r="O382">
        <f>YEAR(Table3[[#This Row],[Joining_Date]])</f>
        <v>2017</v>
      </c>
      <c r="P382" t="str">
        <f>IF(AND(Table3[[#This Row],[Performance]]&lt;=2,Table3[[#This Row],[Attrition]]="No"),"High Risk","Stable")</f>
        <v>Stable</v>
      </c>
    </row>
    <row r="383" spans="1:16" x14ac:dyDescent="0.25">
      <c r="A383" t="s">
        <v>444</v>
      </c>
      <c r="B383" t="s">
        <v>54</v>
      </c>
      <c r="C383" t="s">
        <v>21</v>
      </c>
      <c r="D383">
        <v>25</v>
      </c>
      <c r="E383" t="s">
        <v>34</v>
      </c>
      <c r="F383" t="s">
        <v>52</v>
      </c>
      <c r="G383">
        <v>43761</v>
      </c>
      <c r="H383">
        <v>4</v>
      </c>
      <c r="I383" s="1">
        <v>45800</v>
      </c>
      <c r="J383">
        <v>5</v>
      </c>
      <c r="K383" t="s">
        <v>17</v>
      </c>
      <c r="L383" t="s">
        <v>18</v>
      </c>
      <c r="M383" t="str">
        <f>IF(Table3[[#This Row],[Age]]&lt;30,"Young",IF(Table3[[#This Row],[Age]]&lt;=40,"Mid","Senior"))</f>
        <v>Young</v>
      </c>
      <c r="N383" t="str">
        <f>IF(Table3[[#This Row],[Experience]]&lt;3,"Junior",IF(Table3[[#This Row],[Experience]]&lt;=7,"Mid","Senior"))</f>
        <v>Mid</v>
      </c>
      <c r="O383">
        <f>YEAR(Table3[[#This Row],[Joining_Date]])</f>
        <v>2025</v>
      </c>
      <c r="P383" t="str">
        <f>IF(AND(Table3[[#This Row],[Performance]]&lt;=2,Table3[[#This Row],[Attrition]]="No"),"High Risk","Stable")</f>
        <v>Stable</v>
      </c>
    </row>
    <row r="384" spans="1:16" x14ac:dyDescent="0.25">
      <c r="A384" t="s">
        <v>445</v>
      </c>
      <c r="B384" t="s">
        <v>126</v>
      </c>
      <c r="C384" t="s">
        <v>14</v>
      </c>
      <c r="D384">
        <v>38</v>
      </c>
      <c r="E384" t="s">
        <v>67</v>
      </c>
      <c r="F384" t="s">
        <v>68</v>
      </c>
      <c r="G384">
        <v>46564</v>
      </c>
      <c r="H384">
        <v>1</v>
      </c>
      <c r="I384" s="1">
        <v>45836</v>
      </c>
      <c r="J384">
        <v>4</v>
      </c>
      <c r="K384" t="s">
        <v>17</v>
      </c>
      <c r="L384" t="s">
        <v>18</v>
      </c>
      <c r="M384" t="str">
        <f>IF(Table3[[#This Row],[Age]]&lt;30,"Young",IF(Table3[[#This Row],[Age]]&lt;=40,"Mid","Senior"))</f>
        <v>Mid</v>
      </c>
      <c r="N384" t="str">
        <f>IF(Table3[[#This Row],[Experience]]&lt;3,"Junior",IF(Table3[[#This Row],[Experience]]&lt;=7,"Mid","Senior"))</f>
        <v>Junior</v>
      </c>
      <c r="O384">
        <f>YEAR(Table3[[#This Row],[Joining_Date]])</f>
        <v>2025</v>
      </c>
      <c r="P384" t="str">
        <f>IF(AND(Table3[[#This Row],[Performance]]&lt;=2,Table3[[#This Row],[Attrition]]="No"),"High Risk","Stable")</f>
        <v>Stable</v>
      </c>
    </row>
    <row r="385" spans="1:16" x14ac:dyDescent="0.25">
      <c r="A385" t="s">
        <v>446</v>
      </c>
      <c r="B385" t="s">
        <v>63</v>
      </c>
      <c r="C385" t="s">
        <v>21</v>
      </c>
      <c r="D385">
        <v>34</v>
      </c>
      <c r="E385" t="s">
        <v>34</v>
      </c>
      <c r="F385" t="s">
        <v>74</v>
      </c>
      <c r="G385">
        <v>66259</v>
      </c>
      <c r="H385">
        <v>10</v>
      </c>
      <c r="I385" s="1">
        <v>45615</v>
      </c>
      <c r="J385">
        <v>4</v>
      </c>
      <c r="K385" t="s">
        <v>17</v>
      </c>
      <c r="L385" t="s">
        <v>43</v>
      </c>
      <c r="M385" t="str">
        <f>IF(Table3[[#This Row],[Age]]&lt;30,"Young",IF(Table3[[#This Row],[Age]]&lt;=40,"Mid","Senior"))</f>
        <v>Mid</v>
      </c>
      <c r="N385" t="str">
        <f>IF(Table3[[#This Row],[Experience]]&lt;3,"Junior",IF(Table3[[#This Row],[Experience]]&lt;=7,"Mid","Senior"))</f>
        <v>Senior</v>
      </c>
      <c r="O385">
        <f>YEAR(Table3[[#This Row],[Joining_Date]])</f>
        <v>2024</v>
      </c>
      <c r="P385" t="str">
        <f>IF(AND(Table3[[#This Row],[Performance]]&lt;=2,Table3[[#This Row],[Attrition]]="No"),"High Risk","Stable")</f>
        <v>Stable</v>
      </c>
    </row>
    <row r="386" spans="1:16" x14ac:dyDescent="0.25">
      <c r="A386" t="s">
        <v>447</v>
      </c>
      <c r="B386" t="s">
        <v>54</v>
      </c>
      <c r="C386" t="s">
        <v>14</v>
      </c>
      <c r="D386">
        <v>31</v>
      </c>
      <c r="E386" t="s">
        <v>34</v>
      </c>
      <c r="F386" t="s">
        <v>41</v>
      </c>
      <c r="G386">
        <v>60185</v>
      </c>
      <c r="H386">
        <v>10</v>
      </c>
      <c r="I386" s="1">
        <v>42570</v>
      </c>
      <c r="J386">
        <v>4</v>
      </c>
      <c r="K386" t="s">
        <v>17</v>
      </c>
      <c r="L386" t="s">
        <v>39</v>
      </c>
      <c r="M386" t="str">
        <f>IF(Table3[[#This Row],[Age]]&lt;30,"Young",IF(Table3[[#This Row],[Age]]&lt;=40,"Mid","Senior"))</f>
        <v>Mid</v>
      </c>
      <c r="N386" t="str">
        <f>IF(Table3[[#This Row],[Experience]]&lt;3,"Junior",IF(Table3[[#This Row],[Experience]]&lt;=7,"Mid","Senior"))</f>
        <v>Senior</v>
      </c>
      <c r="O386">
        <f>YEAR(Table3[[#This Row],[Joining_Date]])</f>
        <v>2016</v>
      </c>
      <c r="P386" t="str">
        <f>IF(AND(Table3[[#This Row],[Performance]]&lt;=2,Table3[[#This Row],[Attrition]]="No"),"High Risk","Stable")</f>
        <v>Stable</v>
      </c>
    </row>
    <row r="387" spans="1:16" x14ac:dyDescent="0.25">
      <c r="A387" t="s">
        <v>448</v>
      </c>
      <c r="B387" t="s">
        <v>20</v>
      </c>
      <c r="C387" t="s">
        <v>21</v>
      </c>
      <c r="D387">
        <v>28</v>
      </c>
      <c r="E387" t="s">
        <v>24</v>
      </c>
      <c r="F387" t="s">
        <v>124</v>
      </c>
      <c r="G387">
        <v>65749</v>
      </c>
      <c r="H387">
        <v>7</v>
      </c>
      <c r="I387" s="1">
        <v>43419</v>
      </c>
      <c r="J387">
        <v>2</v>
      </c>
      <c r="K387" t="s">
        <v>17</v>
      </c>
      <c r="L387" t="s">
        <v>50</v>
      </c>
      <c r="M387" t="str">
        <f>IF(Table3[[#This Row],[Age]]&lt;30,"Young",IF(Table3[[#This Row],[Age]]&lt;=40,"Mid","Senior"))</f>
        <v>Young</v>
      </c>
      <c r="N387" t="str">
        <f>IF(Table3[[#This Row],[Experience]]&lt;3,"Junior",IF(Table3[[#This Row],[Experience]]&lt;=7,"Mid","Senior"))</f>
        <v>Mid</v>
      </c>
      <c r="O387">
        <f>YEAR(Table3[[#This Row],[Joining_Date]])</f>
        <v>2018</v>
      </c>
      <c r="P387" t="str">
        <f>IF(AND(Table3[[#This Row],[Performance]]&lt;=2,Table3[[#This Row],[Attrition]]="No"),"High Risk","Stable")</f>
        <v>High Risk</v>
      </c>
    </row>
    <row r="388" spans="1:16" x14ac:dyDescent="0.25">
      <c r="A388" t="s">
        <v>449</v>
      </c>
      <c r="B388" t="s">
        <v>38</v>
      </c>
      <c r="C388" t="s">
        <v>14</v>
      </c>
      <c r="D388">
        <v>37</v>
      </c>
      <c r="E388" t="s">
        <v>24</v>
      </c>
      <c r="F388" t="s">
        <v>25</v>
      </c>
      <c r="G388">
        <v>80546</v>
      </c>
      <c r="H388">
        <v>13</v>
      </c>
      <c r="I388" s="1">
        <v>45068</v>
      </c>
      <c r="J388">
        <v>5</v>
      </c>
      <c r="K388" t="s">
        <v>17</v>
      </c>
      <c r="L388" t="s">
        <v>18</v>
      </c>
      <c r="M388" t="str">
        <f>IF(Table3[[#This Row],[Age]]&lt;30,"Young",IF(Table3[[#This Row],[Age]]&lt;=40,"Mid","Senior"))</f>
        <v>Mid</v>
      </c>
      <c r="N388" t="str">
        <f>IF(Table3[[#This Row],[Experience]]&lt;3,"Junior",IF(Table3[[#This Row],[Experience]]&lt;=7,"Mid","Senior"))</f>
        <v>Senior</v>
      </c>
      <c r="O388">
        <f>YEAR(Table3[[#This Row],[Joining_Date]])</f>
        <v>2023</v>
      </c>
      <c r="P388" t="str">
        <f>IF(AND(Table3[[#This Row],[Performance]]&lt;=2,Table3[[#This Row],[Attrition]]="No"),"High Risk","Stable")</f>
        <v>Stable</v>
      </c>
    </row>
    <row r="389" spans="1:16" x14ac:dyDescent="0.25">
      <c r="A389" t="s">
        <v>450</v>
      </c>
      <c r="B389" t="s">
        <v>126</v>
      </c>
      <c r="C389" t="s">
        <v>21</v>
      </c>
      <c r="D389">
        <v>34</v>
      </c>
      <c r="E389" t="s">
        <v>15</v>
      </c>
      <c r="F389" t="s">
        <v>30</v>
      </c>
      <c r="G389">
        <v>50869</v>
      </c>
      <c r="H389">
        <v>4</v>
      </c>
      <c r="I389" s="1">
        <v>44750</v>
      </c>
      <c r="J389">
        <v>1</v>
      </c>
      <c r="K389" t="s">
        <v>42</v>
      </c>
      <c r="L389" t="s">
        <v>50</v>
      </c>
      <c r="M389" t="str">
        <f>IF(Table3[[#This Row],[Age]]&lt;30,"Young",IF(Table3[[#This Row],[Age]]&lt;=40,"Mid","Senior"))</f>
        <v>Mid</v>
      </c>
      <c r="N389" t="str">
        <f>IF(Table3[[#This Row],[Experience]]&lt;3,"Junior",IF(Table3[[#This Row],[Experience]]&lt;=7,"Mid","Senior"))</f>
        <v>Mid</v>
      </c>
      <c r="O389">
        <f>YEAR(Table3[[#This Row],[Joining_Date]])</f>
        <v>2022</v>
      </c>
      <c r="P389" t="str">
        <f>IF(AND(Table3[[#This Row],[Performance]]&lt;=2,Table3[[#This Row],[Attrition]]="No"),"High Risk","Stable")</f>
        <v>Stable</v>
      </c>
    </row>
    <row r="390" spans="1:16" x14ac:dyDescent="0.25">
      <c r="A390" t="s">
        <v>451</v>
      </c>
      <c r="B390" t="s">
        <v>78</v>
      </c>
      <c r="C390" t="s">
        <v>21</v>
      </c>
      <c r="D390">
        <v>44</v>
      </c>
      <c r="E390" t="s">
        <v>24</v>
      </c>
      <c r="F390" t="s">
        <v>124</v>
      </c>
      <c r="G390">
        <v>62842</v>
      </c>
      <c r="H390">
        <v>9</v>
      </c>
      <c r="I390" s="1">
        <v>45091</v>
      </c>
      <c r="J390">
        <v>5</v>
      </c>
      <c r="K390" t="s">
        <v>42</v>
      </c>
      <c r="L390" t="s">
        <v>18</v>
      </c>
      <c r="M390" t="str">
        <f>IF(Table3[[#This Row],[Age]]&lt;30,"Young",IF(Table3[[#This Row],[Age]]&lt;=40,"Mid","Senior"))</f>
        <v>Senior</v>
      </c>
      <c r="N390" t="str">
        <f>IF(Table3[[#This Row],[Experience]]&lt;3,"Junior",IF(Table3[[#This Row],[Experience]]&lt;=7,"Mid","Senior"))</f>
        <v>Senior</v>
      </c>
      <c r="O390">
        <f>YEAR(Table3[[#This Row],[Joining_Date]])</f>
        <v>2023</v>
      </c>
      <c r="P390" t="str">
        <f>IF(AND(Table3[[#This Row],[Performance]]&lt;=2,Table3[[#This Row],[Attrition]]="No"),"High Risk","Stable")</f>
        <v>Stable</v>
      </c>
    </row>
    <row r="391" spans="1:16" x14ac:dyDescent="0.25">
      <c r="A391" t="s">
        <v>452</v>
      </c>
      <c r="B391" t="s">
        <v>38</v>
      </c>
      <c r="C391" t="s">
        <v>21</v>
      </c>
      <c r="D391">
        <v>34</v>
      </c>
      <c r="E391" t="s">
        <v>15</v>
      </c>
      <c r="F391" t="s">
        <v>30</v>
      </c>
      <c r="G391">
        <v>65870</v>
      </c>
      <c r="H391">
        <v>7</v>
      </c>
      <c r="I391" s="1">
        <v>45217</v>
      </c>
      <c r="J391">
        <v>3</v>
      </c>
      <c r="K391" t="s">
        <v>17</v>
      </c>
      <c r="L391" t="s">
        <v>31</v>
      </c>
      <c r="M391" t="str">
        <f>IF(Table3[[#This Row],[Age]]&lt;30,"Young",IF(Table3[[#This Row],[Age]]&lt;=40,"Mid","Senior"))</f>
        <v>Mid</v>
      </c>
      <c r="N391" t="str">
        <f>IF(Table3[[#This Row],[Experience]]&lt;3,"Junior",IF(Table3[[#This Row],[Experience]]&lt;=7,"Mid","Senior"))</f>
        <v>Mid</v>
      </c>
      <c r="O391">
        <f>YEAR(Table3[[#This Row],[Joining_Date]])</f>
        <v>2023</v>
      </c>
      <c r="P391" t="str">
        <f>IF(AND(Table3[[#This Row],[Performance]]&lt;=2,Table3[[#This Row],[Attrition]]="No"),"High Risk","Stable")</f>
        <v>Stable</v>
      </c>
    </row>
    <row r="392" spans="1:16" x14ac:dyDescent="0.25">
      <c r="A392" t="s">
        <v>453</v>
      </c>
      <c r="B392" t="s">
        <v>54</v>
      </c>
      <c r="C392" t="s">
        <v>14</v>
      </c>
      <c r="D392">
        <v>39</v>
      </c>
      <c r="E392" t="s">
        <v>67</v>
      </c>
      <c r="F392" t="s">
        <v>110</v>
      </c>
      <c r="G392">
        <v>37712</v>
      </c>
      <c r="H392">
        <v>1</v>
      </c>
      <c r="I392" s="1">
        <v>45051</v>
      </c>
      <c r="J392">
        <v>3</v>
      </c>
      <c r="K392" t="s">
        <v>17</v>
      </c>
      <c r="L392" t="s">
        <v>18</v>
      </c>
      <c r="M392" t="str">
        <f>IF(Table3[[#This Row],[Age]]&lt;30,"Young",IF(Table3[[#This Row],[Age]]&lt;=40,"Mid","Senior"))</f>
        <v>Mid</v>
      </c>
      <c r="N392" t="str">
        <f>IF(Table3[[#This Row],[Experience]]&lt;3,"Junior",IF(Table3[[#This Row],[Experience]]&lt;=7,"Mid","Senior"))</f>
        <v>Junior</v>
      </c>
      <c r="O392">
        <f>YEAR(Table3[[#This Row],[Joining_Date]])</f>
        <v>2023</v>
      </c>
      <c r="P392" t="str">
        <f>IF(AND(Table3[[#This Row],[Performance]]&lt;=2,Table3[[#This Row],[Attrition]]="No"),"High Risk","Stable")</f>
        <v>Stable</v>
      </c>
    </row>
    <row r="393" spans="1:16" x14ac:dyDescent="0.25">
      <c r="A393" t="s">
        <v>454</v>
      </c>
      <c r="B393" t="s">
        <v>20</v>
      </c>
      <c r="C393" t="s">
        <v>21</v>
      </c>
      <c r="D393">
        <v>31</v>
      </c>
      <c r="E393" t="s">
        <v>34</v>
      </c>
      <c r="F393" t="s">
        <v>41</v>
      </c>
      <c r="G393">
        <v>60906</v>
      </c>
      <c r="H393">
        <v>10</v>
      </c>
      <c r="I393" s="1">
        <v>44801</v>
      </c>
      <c r="J393">
        <v>1</v>
      </c>
      <c r="K393" t="s">
        <v>42</v>
      </c>
      <c r="L393" t="s">
        <v>50</v>
      </c>
      <c r="M393" t="str">
        <f>IF(Table3[[#This Row],[Age]]&lt;30,"Young",IF(Table3[[#This Row],[Age]]&lt;=40,"Mid","Senior"))</f>
        <v>Mid</v>
      </c>
      <c r="N393" t="str">
        <f>IF(Table3[[#This Row],[Experience]]&lt;3,"Junior",IF(Table3[[#This Row],[Experience]]&lt;=7,"Mid","Senior"))</f>
        <v>Senior</v>
      </c>
      <c r="O393">
        <f>YEAR(Table3[[#This Row],[Joining_Date]])</f>
        <v>2022</v>
      </c>
      <c r="P393" t="str">
        <f>IF(AND(Table3[[#This Row],[Performance]]&lt;=2,Table3[[#This Row],[Attrition]]="No"),"High Risk","Stable")</f>
        <v>Stable</v>
      </c>
    </row>
    <row r="394" spans="1:16" x14ac:dyDescent="0.25">
      <c r="A394" t="s">
        <v>455</v>
      </c>
      <c r="B394" t="s">
        <v>23</v>
      </c>
      <c r="C394" t="s">
        <v>21</v>
      </c>
      <c r="D394">
        <v>30</v>
      </c>
      <c r="E394" t="s">
        <v>15</v>
      </c>
      <c r="F394" t="s">
        <v>71</v>
      </c>
      <c r="G394">
        <v>62131</v>
      </c>
      <c r="H394">
        <v>8</v>
      </c>
      <c r="I394" s="1">
        <v>42664</v>
      </c>
      <c r="J394">
        <v>5</v>
      </c>
      <c r="K394" t="s">
        <v>17</v>
      </c>
      <c r="L394" t="s">
        <v>31</v>
      </c>
      <c r="M394" t="str">
        <f>IF(Table3[[#This Row],[Age]]&lt;30,"Young",IF(Table3[[#This Row],[Age]]&lt;=40,"Mid","Senior"))</f>
        <v>Mid</v>
      </c>
      <c r="N394" t="str">
        <f>IF(Table3[[#This Row],[Experience]]&lt;3,"Junior",IF(Table3[[#This Row],[Experience]]&lt;=7,"Mid","Senior"))</f>
        <v>Senior</v>
      </c>
      <c r="O394">
        <f>YEAR(Table3[[#This Row],[Joining_Date]])</f>
        <v>2016</v>
      </c>
      <c r="P394" t="str">
        <f>IF(AND(Table3[[#This Row],[Performance]]&lt;=2,Table3[[#This Row],[Attrition]]="No"),"High Risk","Stable")</f>
        <v>Stable</v>
      </c>
    </row>
    <row r="395" spans="1:16" x14ac:dyDescent="0.25">
      <c r="A395" t="s">
        <v>456</v>
      </c>
      <c r="B395" t="s">
        <v>78</v>
      </c>
      <c r="C395" t="s">
        <v>21</v>
      </c>
      <c r="D395">
        <v>26</v>
      </c>
      <c r="E395" t="s">
        <v>24</v>
      </c>
      <c r="F395" t="s">
        <v>49</v>
      </c>
      <c r="G395">
        <v>59279</v>
      </c>
      <c r="H395">
        <v>5</v>
      </c>
      <c r="I395" s="1">
        <v>42213</v>
      </c>
      <c r="J395">
        <v>5</v>
      </c>
      <c r="K395" t="s">
        <v>17</v>
      </c>
      <c r="L395" t="s">
        <v>36</v>
      </c>
      <c r="M395" t="str">
        <f>IF(Table3[[#This Row],[Age]]&lt;30,"Young",IF(Table3[[#This Row],[Age]]&lt;=40,"Mid","Senior"))</f>
        <v>Young</v>
      </c>
      <c r="N395" t="str">
        <f>IF(Table3[[#This Row],[Experience]]&lt;3,"Junior",IF(Table3[[#This Row],[Experience]]&lt;=7,"Mid","Senior"))</f>
        <v>Mid</v>
      </c>
      <c r="O395">
        <f>YEAR(Table3[[#This Row],[Joining_Date]])</f>
        <v>2015</v>
      </c>
      <c r="P395" t="str">
        <f>IF(AND(Table3[[#This Row],[Performance]]&lt;=2,Table3[[#This Row],[Attrition]]="No"),"High Risk","Stable")</f>
        <v>Stable</v>
      </c>
    </row>
    <row r="396" spans="1:16" x14ac:dyDescent="0.25">
      <c r="A396" t="s">
        <v>457</v>
      </c>
      <c r="B396" t="s">
        <v>54</v>
      </c>
      <c r="C396" t="s">
        <v>21</v>
      </c>
      <c r="D396">
        <v>38</v>
      </c>
      <c r="E396" t="s">
        <v>67</v>
      </c>
      <c r="F396" t="s">
        <v>76</v>
      </c>
      <c r="G396">
        <v>55512</v>
      </c>
      <c r="H396">
        <v>7</v>
      </c>
      <c r="I396" s="1">
        <v>44137</v>
      </c>
      <c r="J396">
        <v>1</v>
      </c>
      <c r="K396" t="s">
        <v>17</v>
      </c>
      <c r="L396" t="s">
        <v>43</v>
      </c>
      <c r="M396" t="str">
        <f>IF(Table3[[#This Row],[Age]]&lt;30,"Young",IF(Table3[[#This Row],[Age]]&lt;=40,"Mid","Senior"))</f>
        <v>Mid</v>
      </c>
      <c r="N396" t="str">
        <f>IF(Table3[[#This Row],[Experience]]&lt;3,"Junior",IF(Table3[[#This Row],[Experience]]&lt;=7,"Mid","Senior"))</f>
        <v>Mid</v>
      </c>
      <c r="O396">
        <f>YEAR(Table3[[#This Row],[Joining_Date]])</f>
        <v>2020</v>
      </c>
      <c r="P396" t="str">
        <f>IF(AND(Table3[[#This Row],[Performance]]&lt;=2,Table3[[#This Row],[Attrition]]="No"),"High Risk","Stable")</f>
        <v>High Risk</v>
      </c>
    </row>
    <row r="397" spans="1:16" x14ac:dyDescent="0.25">
      <c r="A397" t="s">
        <v>458</v>
      </c>
      <c r="B397" t="s">
        <v>13</v>
      </c>
      <c r="C397" t="s">
        <v>14</v>
      </c>
      <c r="D397">
        <v>28</v>
      </c>
      <c r="E397" t="s">
        <v>67</v>
      </c>
      <c r="F397" t="s">
        <v>97</v>
      </c>
      <c r="G397">
        <v>57924</v>
      </c>
      <c r="H397">
        <v>7</v>
      </c>
      <c r="I397" s="1">
        <v>43482</v>
      </c>
      <c r="J397">
        <v>3</v>
      </c>
      <c r="K397" t="s">
        <v>17</v>
      </c>
      <c r="L397" t="s">
        <v>43</v>
      </c>
      <c r="M397" t="str">
        <f>IF(Table3[[#This Row],[Age]]&lt;30,"Young",IF(Table3[[#This Row],[Age]]&lt;=40,"Mid","Senior"))</f>
        <v>Young</v>
      </c>
      <c r="N397" t="str">
        <f>IF(Table3[[#This Row],[Experience]]&lt;3,"Junior",IF(Table3[[#This Row],[Experience]]&lt;=7,"Mid","Senior"))</f>
        <v>Mid</v>
      </c>
      <c r="O397">
        <f>YEAR(Table3[[#This Row],[Joining_Date]])</f>
        <v>2019</v>
      </c>
      <c r="P397" t="str">
        <f>IF(AND(Table3[[#This Row],[Performance]]&lt;=2,Table3[[#This Row],[Attrition]]="No"),"High Risk","Stable")</f>
        <v>Stable</v>
      </c>
    </row>
    <row r="398" spans="1:16" x14ac:dyDescent="0.25">
      <c r="A398" t="s">
        <v>459</v>
      </c>
      <c r="B398" t="s">
        <v>48</v>
      </c>
      <c r="C398" t="s">
        <v>21</v>
      </c>
      <c r="D398">
        <v>36</v>
      </c>
      <c r="E398" t="s">
        <v>67</v>
      </c>
      <c r="F398" t="s">
        <v>97</v>
      </c>
      <c r="G398">
        <v>63022</v>
      </c>
      <c r="H398">
        <v>7</v>
      </c>
      <c r="I398" s="1">
        <v>44518</v>
      </c>
      <c r="J398">
        <v>5</v>
      </c>
      <c r="K398" t="s">
        <v>17</v>
      </c>
      <c r="L398" t="s">
        <v>31</v>
      </c>
      <c r="M398" t="str">
        <f>IF(Table3[[#This Row],[Age]]&lt;30,"Young",IF(Table3[[#This Row],[Age]]&lt;=40,"Mid","Senior"))</f>
        <v>Mid</v>
      </c>
      <c r="N398" t="str">
        <f>IF(Table3[[#This Row],[Experience]]&lt;3,"Junior",IF(Table3[[#This Row],[Experience]]&lt;=7,"Mid","Senior"))</f>
        <v>Mid</v>
      </c>
      <c r="O398">
        <f>YEAR(Table3[[#This Row],[Joining_Date]])</f>
        <v>2021</v>
      </c>
      <c r="P398" t="str">
        <f>IF(AND(Table3[[#This Row],[Performance]]&lt;=2,Table3[[#This Row],[Attrition]]="No"),"High Risk","Stable")</f>
        <v>Stable</v>
      </c>
    </row>
    <row r="399" spans="1:16" x14ac:dyDescent="0.25">
      <c r="A399" t="s">
        <v>460</v>
      </c>
      <c r="B399" t="s">
        <v>45</v>
      </c>
      <c r="C399" t="s">
        <v>21</v>
      </c>
      <c r="D399">
        <v>30</v>
      </c>
      <c r="E399" t="s">
        <v>24</v>
      </c>
      <c r="F399" t="s">
        <v>49</v>
      </c>
      <c r="G399">
        <v>59904</v>
      </c>
      <c r="H399">
        <v>9</v>
      </c>
      <c r="I399" s="1">
        <v>45737</v>
      </c>
      <c r="J399">
        <v>5</v>
      </c>
      <c r="K399" t="s">
        <v>17</v>
      </c>
      <c r="L399" t="s">
        <v>36</v>
      </c>
      <c r="M399" t="str">
        <f>IF(Table3[[#This Row],[Age]]&lt;30,"Young",IF(Table3[[#This Row],[Age]]&lt;=40,"Mid","Senior"))</f>
        <v>Mid</v>
      </c>
      <c r="N399" t="str">
        <f>IF(Table3[[#This Row],[Experience]]&lt;3,"Junior",IF(Table3[[#This Row],[Experience]]&lt;=7,"Mid","Senior"))</f>
        <v>Senior</v>
      </c>
      <c r="O399">
        <f>YEAR(Table3[[#This Row],[Joining_Date]])</f>
        <v>2025</v>
      </c>
      <c r="P399" t="str">
        <f>IF(AND(Table3[[#This Row],[Performance]]&lt;=2,Table3[[#This Row],[Attrition]]="No"),"High Risk","Stable")</f>
        <v>Stable</v>
      </c>
    </row>
    <row r="400" spans="1:16" x14ac:dyDescent="0.25">
      <c r="A400" t="s">
        <v>461</v>
      </c>
      <c r="B400" t="s">
        <v>56</v>
      </c>
      <c r="C400" t="s">
        <v>21</v>
      </c>
      <c r="D400">
        <v>42</v>
      </c>
      <c r="E400" t="s">
        <v>67</v>
      </c>
      <c r="F400" t="s">
        <v>110</v>
      </c>
      <c r="G400">
        <v>55248</v>
      </c>
      <c r="H400">
        <v>6</v>
      </c>
      <c r="I400" s="1">
        <v>44109</v>
      </c>
      <c r="J400">
        <v>1</v>
      </c>
      <c r="K400" t="s">
        <v>17</v>
      </c>
      <c r="L400" t="s">
        <v>43</v>
      </c>
      <c r="M400" t="str">
        <f>IF(Table3[[#This Row],[Age]]&lt;30,"Young",IF(Table3[[#This Row],[Age]]&lt;=40,"Mid","Senior"))</f>
        <v>Senior</v>
      </c>
      <c r="N400" t="str">
        <f>IF(Table3[[#This Row],[Experience]]&lt;3,"Junior",IF(Table3[[#This Row],[Experience]]&lt;=7,"Mid","Senior"))</f>
        <v>Mid</v>
      </c>
      <c r="O400">
        <f>YEAR(Table3[[#This Row],[Joining_Date]])</f>
        <v>2020</v>
      </c>
      <c r="P400" t="str">
        <f>IF(AND(Table3[[#This Row],[Performance]]&lt;=2,Table3[[#This Row],[Attrition]]="No"),"High Risk","Stable")</f>
        <v>High Risk</v>
      </c>
    </row>
    <row r="401" spans="1:16" x14ac:dyDescent="0.25">
      <c r="A401" t="s">
        <v>462</v>
      </c>
      <c r="B401" t="s">
        <v>20</v>
      </c>
      <c r="C401" t="s">
        <v>21</v>
      </c>
      <c r="D401">
        <v>43</v>
      </c>
      <c r="E401" t="s">
        <v>15</v>
      </c>
      <c r="F401" t="s">
        <v>16</v>
      </c>
      <c r="G401">
        <v>74202</v>
      </c>
      <c r="H401">
        <v>13</v>
      </c>
      <c r="I401" s="1">
        <v>42847</v>
      </c>
      <c r="J401">
        <v>5</v>
      </c>
      <c r="K401" t="s">
        <v>17</v>
      </c>
      <c r="L401" t="s">
        <v>39</v>
      </c>
      <c r="M401" t="str">
        <f>IF(Table3[[#This Row],[Age]]&lt;30,"Young",IF(Table3[[#This Row],[Age]]&lt;=40,"Mid","Senior"))</f>
        <v>Senior</v>
      </c>
      <c r="N401" t="str">
        <f>IF(Table3[[#This Row],[Experience]]&lt;3,"Junior",IF(Table3[[#This Row],[Experience]]&lt;=7,"Mid","Senior"))</f>
        <v>Senior</v>
      </c>
      <c r="O401">
        <f>YEAR(Table3[[#This Row],[Joining_Date]])</f>
        <v>2017</v>
      </c>
      <c r="P401" t="str">
        <f>IF(AND(Table3[[#This Row],[Performance]]&lt;=2,Table3[[#This Row],[Attrition]]="No"),"High Risk","Stable")</f>
        <v>Stable</v>
      </c>
    </row>
    <row r="402" spans="1:16" x14ac:dyDescent="0.25">
      <c r="A402" t="s">
        <v>463</v>
      </c>
      <c r="B402" t="s">
        <v>126</v>
      </c>
      <c r="C402" t="s">
        <v>21</v>
      </c>
      <c r="D402">
        <v>36</v>
      </c>
      <c r="E402" t="s">
        <v>67</v>
      </c>
      <c r="F402" t="s">
        <v>97</v>
      </c>
      <c r="G402">
        <v>60620</v>
      </c>
      <c r="H402">
        <v>10</v>
      </c>
      <c r="I402" s="1">
        <v>42363</v>
      </c>
      <c r="J402">
        <v>1</v>
      </c>
      <c r="K402" t="s">
        <v>42</v>
      </c>
      <c r="L402" t="s">
        <v>36</v>
      </c>
      <c r="M402" t="str">
        <f>IF(Table3[[#This Row],[Age]]&lt;30,"Young",IF(Table3[[#This Row],[Age]]&lt;=40,"Mid","Senior"))</f>
        <v>Mid</v>
      </c>
      <c r="N402" t="str">
        <f>IF(Table3[[#This Row],[Experience]]&lt;3,"Junior",IF(Table3[[#This Row],[Experience]]&lt;=7,"Mid","Senior"))</f>
        <v>Senior</v>
      </c>
      <c r="O402">
        <f>YEAR(Table3[[#This Row],[Joining_Date]])</f>
        <v>2015</v>
      </c>
      <c r="P402" t="str">
        <f>IF(AND(Table3[[#This Row],[Performance]]&lt;=2,Table3[[#This Row],[Attrition]]="No"),"High Risk","Stable")</f>
        <v>Stable</v>
      </c>
    </row>
    <row r="403" spans="1:16" x14ac:dyDescent="0.25">
      <c r="A403" t="s">
        <v>464</v>
      </c>
      <c r="B403" t="s">
        <v>33</v>
      </c>
      <c r="C403" t="s">
        <v>21</v>
      </c>
      <c r="D403">
        <v>35</v>
      </c>
      <c r="E403" t="s">
        <v>15</v>
      </c>
      <c r="F403" t="s">
        <v>30</v>
      </c>
      <c r="G403">
        <v>77391</v>
      </c>
      <c r="H403">
        <v>12</v>
      </c>
      <c r="I403" s="1">
        <v>44586</v>
      </c>
      <c r="J403">
        <v>4</v>
      </c>
      <c r="K403" t="s">
        <v>17</v>
      </c>
      <c r="L403" t="s">
        <v>31</v>
      </c>
      <c r="M403" t="str">
        <f>IF(Table3[[#This Row],[Age]]&lt;30,"Young",IF(Table3[[#This Row],[Age]]&lt;=40,"Mid","Senior"))</f>
        <v>Mid</v>
      </c>
      <c r="N403" t="str">
        <f>IF(Table3[[#This Row],[Experience]]&lt;3,"Junior",IF(Table3[[#This Row],[Experience]]&lt;=7,"Mid","Senior"))</f>
        <v>Senior</v>
      </c>
      <c r="O403">
        <f>YEAR(Table3[[#This Row],[Joining_Date]])</f>
        <v>2022</v>
      </c>
      <c r="P403" t="str">
        <f>IF(AND(Table3[[#This Row],[Performance]]&lt;=2,Table3[[#This Row],[Attrition]]="No"),"High Risk","Stable")</f>
        <v>Stable</v>
      </c>
    </row>
    <row r="404" spans="1:16" x14ac:dyDescent="0.25">
      <c r="A404" t="s">
        <v>465</v>
      </c>
      <c r="B404" t="s">
        <v>27</v>
      </c>
      <c r="C404" t="s">
        <v>21</v>
      </c>
      <c r="D404">
        <v>24</v>
      </c>
      <c r="E404" t="s">
        <v>67</v>
      </c>
      <c r="F404" t="s">
        <v>97</v>
      </c>
      <c r="G404">
        <v>48983</v>
      </c>
      <c r="H404">
        <v>1</v>
      </c>
      <c r="I404" s="1">
        <v>45479</v>
      </c>
      <c r="J404">
        <v>1</v>
      </c>
      <c r="K404" t="s">
        <v>42</v>
      </c>
      <c r="L404" t="s">
        <v>43</v>
      </c>
      <c r="M404" t="str">
        <f>IF(Table3[[#This Row],[Age]]&lt;30,"Young",IF(Table3[[#This Row],[Age]]&lt;=40,"Mid","Senior"))</f>
        <v>Young</v>
      </c>
      <c r="N404" t="str">
        <f>IF(Table3[[#This Row],[Experience]]&lt;3,"Junior",IF(Table3[[#This Row],[Experience]]&lt;=7,"Mid","Senior"))</f>
        <v>Junior</v>
      </c>
      <c r="O404">
        <f>YEAR(Table3[[#This Row],[Joining_Date]])</f>
        <v>2024</v>
      </c>
      <c r="P404" t="str">
        <f>IF(AND(Table3[[#This Row],[Performance]]&lt;=2,Table3[[#This Row],[Attrition]]="No"),"High Risk","Stable")</f>
        <v>Stable</v>
      </c>
    </row>
    <row r="405" spans="1:16" x14ac:dyDescent="0.25">
      <c r="A405" t="s">
        <v>466</v>
      </c>
      <c r="B405" t="s">
        <v>27</v>
      </c>
      <c r="C405" t="s">
        <v>14</v>
      </c>
      <c r="D405">
        <v>24</v>
      </c>
      <c r="E405" t="s">
        <v>15</v>
      </c>
      <c r="F405" t="s">
        <v>28</v>
      </c>
      <c r="G405">
        <v>60038</v>
      </c>
      <c r="H405">
        <v>3</v>
      </c>
      <c r="I405" s="1">
        <v>45800</v>
      </c>
      <c r="J405">
        <v>4</v>
      </c>
      <c r="K405" t="s">
        <v>17</v>
      </c>
      <c r="L405" t="s">
        <v>39</v>
      </c>
      <c r="M405" t="str">
        <f>IF(Table3[[#This Row],[Age]]&lt;30,"Young",IF(Table3[[#This Row],[Age]]&lt;=40,"Mid","Senior"))</f>
        <v>Young</v>
      </c>
      <c r="N405" t="str">
        <f>IF(Table3[[#This Row],[Experience]]&lt;3,"Junior",IF(Table3[[#This Row],[Experience]]&lt;=7,"Mid","Senior"))</f>
        <v>Mid</v>
      </c>
      <c r="O405">
        <f>YEAR(Table3[[#This Row],[Joining_Date]])</f>
        <v>2025</v>
      </c>
      <c r="P405" t="str">
        <f>IF(AND(Table3[[#This Row],[Performance]]&lt;=2,Table3[[#This Row],[Attrition]]="No"),"High Risk","Stable")</f>
        <v>Stable</v>
      </c>
    </row>
    <row r="406" spans="1:16" x14ac:dyDescent="0.25">
      <c r="A406" t="s">
        <v>467</v>
      </c>
      <c r="B406" t="s">
        <v>38</v>
      </c>
      <c r="C406" t="s">
        <v>21</v>
      </c>
      <c r="D406">
        <v>29</v>
      </c>
      <c r="E406" t="s">
        <v>15</v>
      </c>
      <c r="F406" t="s">
        <v>71</v>
      </c>
      <c r="G406">
        <v>62234</v>
      </c>
      <c r="H406">
        <v>4</v>
      </c>
      <c r="I406" s="1">
        <v>43606</v>
      </c>
      <c r="J406">
        <v>5</v>
      </c>
      <c r="K406" t="s">
        <v>17</v>
      </c>
      <c r="L406" t="s">
        <v>39</v>
      </c>
      <c r="M406" t="str">
        <f>IF(Table3[[#This Row],[Age]]&lt;30,"Young",IF(Table3[[#This Row],[Age]]&lt;=40,"Mid","Senior"))</f>
        <v>Young</v>
      </c>
      <c r="N406" t="str">
        <f>IF(Table3[[#This Row],[Experience]]&lt;3,"Junior",IF(Table3[[#This Row],[Experience]]&lt;=7,"Mid","Senior"))</f>
        <v>Mid</v>
      </c>
      <c r="O406">
        <f>YEAR(Table3[[#This Row],[Joining_Date]])</f>
        <v>2019</v>
      </c>
      <c r="P406" t="str">
        <f>IF(AND(Table3[[#This Row],[Performance]]&lt;=2,Table3[[#This Row],[Attrition]]="No"),"High Risk","Stable")</f>
        <v>Stable</v>
      </c>
    </row>
    <row r="407" spans="1:16" x14ac:dyDescent="0.25">
      <c r="A407" t="s">
        <v>468</v>
      </c>
      <c r="B407" t="s">
        <v>126</v>
      </c>
      <c r="C407" t="s">
        <v>14</v>
      </c>
      <c r="D407">
        <v>39</v>
      </c>
      <c r="E407" t="s">
        <v>34</v>
      </c>
      <c r="F407" t="s">
        <v>41</v>
      </c>
      <c r="G407">
        <v>45019</v>
      </c>
      <c r="H407">
        <v>4</v>
      </c>
      <c r="I407" s="1">
        <v>42176</v>
      </c>
      <c r="J407">
        <v>1</v>
      </c>
      <c r="K407" t="s">
        <v>17</v>
      </c>
      <c r="L407" t="s">
        <v>43</v>
      </c>
      <c r="M407" t="str">
        <f>IF(Table3[[#This Row],[Age]]&lt;30,"Young",IF(Table3[[#This Row],[Age]]&lt;=40,"Mid","Senior"))</f>
        <v>Mid</v>
      </c>
      <c r="N407" t="str">
        <f>IF(Table3[[#This Row],[Experience]]&lt;3,"Junior",IF(Table3[[#This Row],[Experience]]&lt;=7,"Mid","Senior"))</f>
        <v>Mid</v>
      </c>
      <c r="O407">
        <f>YEAR(Table3[[#This Row],[Joining_Date]])</f>
        <v>2015</v>
      </c>
      <c r="P407" t="str">
        <f>IF(AND(Table3[[#This Row],[Performance]]&lt;=2,Table3[[#This Row],[Attrition]]="No"),"High Risk","Stable")</f>
        <v>High Risk</v>
      </c>
    </row>
    <row r="408" spans="1:16" x14ac:dyDescent="0.25">
      <c r="A408" t="s">
        <v>469</v>
      </c>
      <c r="B408" t="s">
        <v>48</v>
      </c>
      <c r="C408" t="s">
        <v>21</v>
      </c>
      <c r="D408">
        <v>28</v>
      </c>
      <c r="E408" t="s">
        <v>15</v>
      </c>
      <c r="F408" t="s">
        <v>28</v>
      </c>
      <c r="G408">
        <v>68082</v>
      </c>
      <c r="H408">
        <v>7</v>
      </c>
      <c r="I408" s="1">
        <v>45492</v>
      </c>
      <c r="J408">
        <v>5</v>
      </c>
      <c r="K408" t="s">
        <v>17</v>
      </c>
      <c r="L408" t="s">
        <v>50</v>
      </c>
      <c r="M408" t="str">
        <f>IF(Table3[[#This Row],[Age]]&lt;30,"Young",IF(Table3[[#This Row],[Age]]&lt;=40,"Mid","Senior"))</f>
        <v>Young</v>
      </c>
      <c r="N408" t="str">
        <f>IF(Table3[[#This Row],[Experience]]&lt;3,"Junior",IF(Table3[[#This Row],[Experience]]&lt;=7,"Mid","Senior"))</f>
        <v>Mid</v>
      </c>
      <c r="O408">
        <f>YEAR(Table3[[#This Row],[Joining_Date]])</f>
        <v>2024</v>
      </c>
      <c r="P408" t="str">
        <f>IF(AND(Table3[[#This Row],[Performance]]&lt;=2,Table3[[#This Row],[Attrition]]="No"),"High Risk","Stable")</f>
        <v>Stable</v>
      </c>
    </row>
    <row r="409" spans="1:16" x14ac:dyDescent="0.25">
      <c r="A409" t="s">
        <v>470</v>
      </c>
      <c r="B409" t="s">
        <v>63</v>
      </c>
      <c r="C409" t="s">
        <v>21</v>
      </c>
      <c r="D409">
        <v>27</v>
      </c>
      <c r="E409" t="s">
        <v>34</v>
      </c>
      <c r="F409" t="s">
        <v>41</v>
      </c>
      <c r="G409">
        <v>47805</v>
      </c>
      <c r="H409">
        <v>1</v>
      </c>
      <c r="I409" s="1">
        <v>45823</v>
      </c>
      <c r="J409">
        <v>5</v>
      </c>
      <c r="K409" t="s">
        <v>17</v>
      </c>
      <c r="L409" t="s">
        <v>43</v>
      </c>
      <c r="M409" t="str">
        <f>IF(Table3[[#This Row],[Age]]&lt;30,"Young",IF(Table3[[#This Row],[Age]]&lt;=40,"Mid","Senior"))</f>
        <v>Young</v>
      </c>
      <c r="N409" t="str">
        <f>IF(Table3[[#This Row],[Experience]]&lt;3,"Junior",IF(Table3[[#This Row],[Experience]]&lt;=7,"Mid","Senior"))</f>
        <v>Junior</v>
      </c>
      <c r="O409">
        <f>YEAR(Table3[[#This Row],[Joining_Date]])</f>
        <v>2025</v>
      </c>
      <c r="P409" t="str">
        <f>IF(AND(Table3[[#This Row],[Performance]]&lt;=2,Table3[[#This Row],[Attrition]]="No"),"High Risk","Stable")</f>
        <v>Stable</v>
      </c>
    </row>
    <row r="410" spans="1:16" x14ac:dyDescent="0.25">
      <c r="A410" t="s">
        <v>471</v>
      </c>
      <c r="B410" t="s">
        <v>33</v>
      </c>
      <c r="C410" t="s">
        <v>21</v>
      </c>
      <c r="D410">
        <v>25</v>
      </c>
      <c r="E410" t="s">
        <v>15</v>
      </c>
      <c r="F410" t="s">
        <v>28</v>
      </c>
      <c r="G410">
        <v>61888</v>
      </c>
      <c r="H410">
        <v>4</v>
      </c>
      <c r="I410" s="1">
        <v>44383</v>
      </c>
      <c r="J410">
        <v>4</v>
      </c>
      <c r="K410" t="s">
        <v>17</v>
      </c>
      <c r="L410" t="s">
        <v>36</v>
      </c>
      <c r="M410" t="str">
        <f>IF(Table3[[#This Row],[Age]]&lt;30,"Young",IF(Table3[[#This Row],[Age]]&lt;=40,"Mid","Senior"))</f>
        <v>Young</v>
      </c>
      <c r="N410" t="str">
        <f>IF(Table3[[#This Row],[Experience]]&lt;3,"Junior",IF(Table3[[#This Row],[Experience]]&lt;=7,"Mid","Senior"))</f>
        <v>Mid</v>
      </c>
      <c r="O410">
        <f>YEAR(Table3[[#This Row],[Joining_Date]])</f>
        <v>2021</v>
      </c>
      <c r="P410" t="str">
        <f>IF(AND(Table3[[#This Row],[Performance]]&lt;=2,Table3[[#This Row],[Attrition]]="No"),"High Risk","Stable")</f>
        <v>Stable</v>
      </c>
    </row>
    <row r="411" spans="1:16" x14ac:dyDescent="0.25">
      <c r="A411" t="s">
        <v>472</v>
      </c>
      <c r="B411" t="s">
        <v>56</v>
      </c>
      <c r="C411" t="s">
        <v>21</v>
      </c>
      <c r="D411">
        <v>41</v>
      </c>
      <c r="E411" t="s">
        <v>34</v>
      </c>
      <c r="F411" t="s">
        <v>74</v>
      </c>
      <c r="G411">
        <v>41170</v>
      </c>
      <c r="H411">
        <v>2</v>
      </c>
      <c r="I411" s="1">
        <v>43306</v>
      </c>
      <c r="J411">
        <v>4</v>
      </c>
      <c r="K411" t="s">
        <v>17</v>
      </c>
      <c r="L411" t="s">
        <v>43</v>
      </c>
      <c r="M411" t="str">
        <f>IF(Table3[[#This Row],[Age]]&lt;30,"Young",IF(Table3[[#This Row],[Age]]&lt;=40,"Mid","Senior"))</f>
        <v>Senior</v>
      </c>
      <c r="N411" t="str">
        <f>IF(Table3[[#This Row],[Experience]]&lt;3,"Junior",IF(Table3[[#This Row],[Experience]]&lt;=7,"Mid","Senior"))</f>
        <v>Junior</v>
      </c>
      <c r="O411">
        <f>YEAR(Table3[[#This Row],[Joining_Date]])</f>
        <v>2018</v>
      </c>
      <c r="P411" t="str">
        <f>IF(AND(Table3[[#This Row],[Performance]]&lt;=2,Table3[[#This Row],[Attrition]]="No"),"High Risk","Stable")</f>
        <v>Stable</v>
      </c>
    </row>
    <row r="412" spans="1:16" x14ac:dyDescent="0.25">
      <c r="A412" t="s">
        <v>473</v>
      </c>
      <c r="B412" t="s">
        <v>54</v>
      </c>
      <c r="C412" t="s">
        <v>14</v>
      </c>
      <c r="D412">
        <v>35</v>
      </c>
      <c r="E412" t="s">
        <v>24</v>
      </c>
      <c r="F412" t="s">
        <v>46</v>
      </c>
      <c r="G412">
        <v>49579</v>
      </c>
      <c r="H412">
        <v>5</v>
      </c>
      <c r="I412" s="1">
        <v>43287</v>
      </c>
      <c r="J412">
        <v>2</v>
      </c>
      <c r="K412" t="s">
        <v>17</v>
      </c>
      <c r="L412" t="s">
        <v>39</v>
      </c>
      <c r="M412" t="str">
        <f>IF(Table3[[#This Row],[Age]]&lt;30,"Young",IF(Table3[[#This Row],[Age]]&lt;=40,"Mid","Senior"))</f>
        <v>Mid</v>
      </c>
      <c r="N412" t="str">
        <f>IF(Table3[[#This Row],[Experience]]&lt;3,"Junior",IF(Table3[[#This Row],[Experience]]&lt;=7,"Mid","Senior"))</f>
        <v>Mid</v>
      </c>
      <c r="O412">
        <f>YEAR(Table3[[#This Row],[Joining_Date]])</f>
        <v>2018</v>
      </c>
      <c r="P412" t="str">
        <f>IF(AND(Table3[[#This Row],[Performance]]&lt;=2,Table3[[#This Row],[Attrition]]="No"),"High Risk","Stable")</f>
        <v>High Risk</v>
      </c>
    </row>
    <row r="413" spans="1:16" x14ac:dyDescent="0.25">
      <c r="A413" t="s">
        <v>474</v>
      </c>
      <c r="B413" t="s">
        <v>88</v>
      </c>
      <c r="C413" t="s">
        <v>14</v>
      </c>
      <c r="D413">
        <v>43</v>
      </c>
      <c r="E413" t="s">
        <v>67</v>
      </c>
      <c r="F413" t="s">
        <v>76</v>
      </c>
      <c r="G413">
        <v>67863</v>
      </c>
      <c r="H413">
        <v>10</v>
      </c>
      <c r="I413" s="1">
        <v>43900</v>
      </c>
      <c r="J413">
        <v>4</v>
      </c>
      <c r="K413" t="s">
        <v>17</v>
      </c>
      <c r="L413" t="s">
        <v>36</v>
      </c>
      <c r="M413" t="str">
        <f>IF(Table3[[#This Row],[Age]]&lt;30,"Young",IF(Table3[[#This Row],[Age]]&lt;=40,"Mid","Senior"))</f>
        <v>Senior</v>
      </c>
      <c r="N413" t="str">
        <f>IF(Table3[[#This Row],[Experience]]&lt;3,"Junior",IF(Table3[[#This Row],[Experience]]&lt;=7,"Mid","Senior"))</f>
        <v>Senior</v>
      </c>
      <c r="O413">
        <f>YEAR(Table3[[#This Row],[Joining_Date]])</f>
        <v>2020</v>
      </c>
      <c r="P413" t="str">
        <f>IF(AND(Table3[[#This Row],[Performance]]&lt;=2,Table3[[#This Row],[Attrition]]="No"),"High Risk","Stable")</f>
        <v>Stable</v>
      </c>
    </row>
    <row r="414" spans="1:16" x14ac:dyDescent="0.25">
      <c r="A414" t="s">
        <v>475</v>
      </c>
      <c r="B414" t="s">
        <v>27</v>
      </c>
      <c r="C414" t="s">
        <v>21</v>
      </c>
      <c r="D414">
        <v>24</v>
      </c>
      <c r="E414" t="s">
        <v>67</v>
      </c>
      <c r="F414" t="s">
        <v>97</v>
      </c>
      <c r="G414">
        <v>44793</v>
      </c>
      <c r="H414">
        <v>3</v>
      </c>
      <c r="I414" s="1">
        <v>45655</v>
      </c>
      <c r="J414">
        <v>5</v>
      </c>
      <c r="K414" t="s">
        <v>17</v>
      </c>
      <c r="L414" t="s">
        <v>39</v>
      </c>
      <c r="M414" t="str">
        <f>IF(Table3[[#This Row],[Age]]&lt;30,"Young",IF(Table3[[#This Row],[Age]]&lt;=40,"Mid","Senior"))</f>
        <v>Young</v>
      </c>
      <c r="N414" t="str">
        <f>IF(Table3[[#This Row],[Experience]]&lt;3,"Junior",IF(Table3[[#This Row],[Experience]]&lt;=7,"Mid","Senior"))</f>
        <v>Mid</v>
      </c>
      <c r="O414">
        <f>YEAR(Table3[[#This Row],[Joining_Date]])</f>
        <v>2024</v>
      </c>
      <c r="P414" t="str">
        <f>IF(AND(Table3[[#This Row],[Performance]]&lt;=2,Table3[[#This Row],[Attrition]]="No"),"High Risk","Stable")</f>
        <v>Stable</v>
      </c>
    </row>
    <row r="415" spans="1:16" x14ac:dyDescent="0.25">
      <c r="A415" t="s">
        <v>476</v>
      </c>
      <c r="B415" t="s">
        <v>199</v>
      </c>
      <c r="C415" t="s">
        <v>21</v>
      </c>
      <c r="D415">
        <v>42</v>
      </c>
      <c r="E415" t="s">
        <v>15</v>
      </c>
      <c r="F415" t="s">
        <v>16</v>
      </c>
      <c r="G415">
        <v>49533</v>
      </c>
      <c r="H415">
        <v>0</v>
      </c>
      <c r="I415" s="1">
        <v>44376</v>
      </c>
      <c r="J415">
        <v>4</v>
      </c>
      <c r="K415" t="s">
        <v>17</v>
      </c>
      <c r="L415" t="s">
        <v>50</v>
      </c>
      <c r="M415" t="str">
        <f>IF(Table3[[#This Row],[Age]]&lt;30,"Young",IF(Table3[[#This Row],[Age]]&lt;=40,"Mid","Senior"))</f>
        <v>Senior</v>
      </c>
      <c r="N415" t="str">
        <f>IF(Table3[[#This Row],[Experience]]&lt;3,"Junior",IF(Table3[[#This Row],[Experience]]&lt;=7,"Mid","Senior"))</f>
        <v>Junior</v>
      </c>
      <c r="O415">
        <f>YEAR(Table3[[#This Row],[Joining_Date]])</f>
        <v>2021</v>
      </c>
      <c r="P415" t="str">
        <f>IF(AND(Table3[[#This Row],[Performance]]&lt;=2,Table3[[#This Row],[Attrition]]="No"),"High Risk","Stable")</f>
        <v>Stable</v>
      </c>
    </row>
    <row r="416" spans="1:16" x14ac:dyDescent="0.25">
      <c r="A416" t="s">
        <v>477</v>
      </c>
      <c r="B416" t="s">
        <v>38</v>
      </c>
      <c r="C416" t="s">
        <v>14</v>
      </c>
      <c r="D416">
        <v>39</v>
      </c>
      <c r="E416" t="s">
        <v>15</v>
      </c>
      <c r="F416" t="s">
        <v>30</v>
      </c>
      <c r="G416">
        <v>88213</v>
      </c>
      <c r="H416">
        <v>15</v>
      </c>
      <c r="I416" s="1">
        <v>45180</v>
      </c>
      <c r="J416">
        <v>2</v>
      </c>
      <c r="K416" t="s">
        <v>42</v>
      </c>
      <c r="L416" t="s">
        <v>50</v>
      </c>
      <c r="M416" t="str">
        <f>IF(Table3[[#This Row],[Age]]&lt;30,"Young",IF(Table3[[#This Row],[Age]]&lt;=40,"Mid","Senior"))</f>
        <v>Mid</v>
      </c>
      <c r="N416" t="str">
        <f>IF(Table3[[#This Row],[Experience]]&lt;3,"Junior",IF(Table3[[#This Row],[Experience]]&lt;=7,"Mid","Senior"))</f>
        <v>Senior</v>
      </c>
      <c r="O416">
        <f>YEAR(Table3[[#This Row],[Joining_Date]])</f>
        <v>2023</v>
      </c>
      <c r="P416" t="str">
        <f>IF(AND(Table3[[#This Row],[Performance]]&lt;=2,Table3[[#This Row],[Attrition]]="No"),"High Risk","Stable")</f>
        <v>Stable</v>
      </c>
    </row>
    <row r="417" spans="1:16" x14ac:dyDescent="0.25">
      <c r="A417" t="s">
        <v>478</v>
      </c>
      <c r="B417" t="s">
        <v>199</v>
      </c>
      <c r="C417" t="s">
        <v>14</v>
      </c>
      <c r="D417">
        <v>38</v>
      </c>
      <c r="E417" t="s">
        <v>24</v>
      </c>
      <c r="F417" t="s">
        <v>46</v>
      </c>
      <c r="G417">
        <v>48500</v>
      </c>
      <c r="H417">
        <v>2</v>
      </c>
      <c r="I417" s="1">
        <v>43495</v>
      </c>
      <c r="J417">
        <v>5</v>
      </c>
      <c r="K417" t="s">
        <v>42</v>
      </c>
      <c r="L417" t="s">
        <v>50</v>
      </c>
      <c r="M417" t="str">
        <f>IF(Table3[[#This Row],[Age]]&lt;30,"Young",IF(Table3[[#This Row],[Age]]&lt;=40,"Mid","Senior"))</f>
        <v>Mid</v>
      </c>
      <c r="N417" t="str">
        <f>IF(Table3[[#This Row],[Experience]]&lt;3,"Junior",IF(Table3[[#This Row],[Experience]]&lt;=7,"Mid","Senior"))</f>
        <v>Junior</v>
      </c>
      <c r="O417">
        <f>YEAR(Table3[[#This Row],[Joining_Date]])</f>
        <v>2019</v>
      </c>
      <c r="P417" t="str">
        <f>IF(AND(Table3[[#This Row],[Performance]]&lt;=2,Table3[[#This Row],[Attrition]]="No"),"High Risk","Stable")</f>
        <v>Stable</v>
      </c>
    </row>
    <row r="418" spans="1:16" x14ac:dyDescent="0.25">
      <c r="A418" t="s">
        <v>479</v>
      </c>
      <c r="B418" t="s">
        <v>91</v>
      </c>
      <c r="C418" t="s">
        <v>14</v>
      </c>
      <c r="D418">
        <v>27</v>
      </c>
      <c r="E418" t="s">
        <v>34</v>
      </c>
      <c r="F418" t="s">
        <v>74</v>
      </c>
      <c r="G418">
        <v>55057</v>
      </c>
      <c r="H418">
        <v>4</v>
      </c>
      <c r="I418" s="1">
        <v>45003</v>
      </c>
      <c r="J418">
        <v>4</v>
      </c>
      <c r="K418" t="s">
        <v>17</v>
      </c>
      <c r="L418" t="s">
        <v>31</v>
      </c>
      <c r="M418" t="str">
        <f>IF(Table3[[#This Row],[Age]]&lt;30,"Young",IF(Table3[[#This Row],[Age]]&lt;=40,"Mid","Senior"))</f>
        <v>Young</v>
      </c>
      <c r="N418" t="str">
        <f>IF(Table3[[#This Row],[Experience]]&lt;3,"Junior",IF(Table3[[#This Row],[Experience]]&lt;=7,"Mid","Senior"))</f>
        <v>Mid</v>
      </c>
      <c r="O418">
        <f>YEAR(Table3[[#This Row],[Joining_Date]])</f>
        <v>2023</v>
      </c>
      <c r="P418" t="str">
        <f>IF(AND(Table3[[#This Row],[Performance]]&lt;=2,Table3[[#This Row],[Attrition]]="No"),"High Risk","Stable")</f>
        <v>Stable</v>
      </c>
    </row>
    <row r="419" spans="1:16" x14ac:dyDescent="0.25">
      <c r="A419" t="s">
        <v>480</v>
      </c>
      <c r="B419" t="s">
        <v>60</v>
      </c>
      <c r="C419" t="s">
        <v>21</v>
      </c>
      <c r="D419">
        <v>30</v>
      </c>
      <c r="E419" t="s">
        <v>34</v>
      </c>
      <c r="F419" t="s">
        <v>52</v>
      </c>
      <c r="G419">
        <v>59334</v>
      </c>
      <c r="H419">
        <v>9</v>
      </c>
      <c r="I419" s="1">
        <v>42180</v>
      </c>
      <c r="J419">
        <v>2</v>
      </c>
      <c r="K419" t="s">
        <v>17</v>
      </c>
      <c r="L419" t="s">
        <v>18</v>
      </c>
      <c r="M419" t="str">
        <f>IF(Table3[[#This Row],[Age]]&lt;30,"Young",IF(Table3[[#This Row],[Age]]&lt;=40,"Mid","Senior"))</f>
        <v>Mid</v>
      </c>
      <c r="N419" t="str">
        <f>IF(Table3[[#This Row],[Experience]]&lt;3,"Junior",IF(Table3[[#This Row],[Experience]]&lt;=7,"Mid","Senior"))</f>
        <v>Senior</v>
      </c>
      <c r="O419">
        <f>YEAR(Table3[[#This Row],[Joining_Date]])</f>
        <v>2015</v>
      </c>
      <c r="P419" t="str">
        <f>IF(AND(Table3[[#This Row],[Performance]]&lt;=2,Table3[[#This Row],[Attrition]]="No"),"High Risk","Stable")</f>
        <v>High Risk</v>
      </c>
    </row>
    <row r="420" spans="1:16" x14ac:dyDescent="0.25">
      <c r="A420" t="s">
        <v>481</v>
      </c>
      <c r="B420" t="s">
        <v>78</v>
      </c>
      <c r="C420" t="s">
        <v>21</v>
      </c>
      <c r="D420">
        <v>42</v>
      </c>
      <c r="E420" t="s">
        <v>67</v>
      </c>
      <c r="F420" t="s">
        <v>110</v>
      </c>
      <c r="G420">
        <v>61691</v>
      </c>
      <c r="H420">
        <v>10</v>
      </c>
      <c r="I420" s="1">
        <v>44887</v>
      </c>
      <c r="J420">
        <v>5</v>
      </c>
      <c r="K420" t="s">
        <v>17</v>
      </c>
      <c r="L420" t="s">
        <v>36</v>
      </c>
      <c r="M420" t="str">
        <f>IF(Table3[[#This Row],[Age]]&lt;30,"Young",IF(Table3[[#This Row],[Age]]&lt;=40,"Mid","Senior"))</f>
        <v>Senior</v>
      </c>
      <c r="N420" t="str">
        <f>IF(Table3[[#This Row],[Experience]]&lt;3,"Junior",IF(Table3[[#This Row],[Experience]]&lt;=7,"Mid","Senior"))</f>
        <v>Senior</v>
      </c>
      <c r="O420">
        <f>YEAR(Table3[[#This Row],[Joining_Date]])</f>
        <v>2022</v>
      </c>
      <c r="P420" t="str">
        <f>IF(AND(Table3[[#This Row],[Performance]]&lt;=2,Table3[[#This Row],[Attrition]]="No"),"High Risk","Stable")</f>
        <v>Stable</v>
      </c>
    </row>
    <row r="421" spans="1:16" x14ac:dyDescent="0.25">
      <c r="A421" t="s">
        <v>482</v>
      </c>
      <c r="B421" t="s">
        <v>45</v>
      </c>
      <c r="C421" t="s">
        <v>14</v>
      </c>
      <c r="D421">
        <v>33</v>
      </c>
      <c r="E421" t="s">
        <v>24</v>
      </c>
      <c r="F421" t="s">
        <v>46</v>
      </c>
      <c r="G421">
        <v>50465</v>
      </c>
      <c r="H421">
        <v>2</v>
      </c>
      <c r="I421" s="1">
        <v>43035</v>
      </c>
      <c r="J421">
        <v>4</v>
      </c>
      <c r="K421" t="s">
        <v>17</v>
      </c>
      <c r="L421" t="s">
        <v>50</v>
      </c>
      <c r="M421" t="str">
        <f>IF(Table3[[#This Row],[Age]]&lt;30,"Young",IF(Table3[[#This Row],[Age]]&lt;=40,"Mid","Senior"))</f>
        <v>Mid</v>
      </c>
      <c r="N421" t="str">
        <f>IF(Table3[[#This Row],[Experience]]&lt;3,"Junior",IF(Table3[[#This Row],[Experience]]&lt;=7,"Mid","Senior"))</f>
        <v>Junior</v>
      </c>
      <c r="O421">
        <f>YEAR(Table3[[#This Row],[Joining_Date]])</f>
        <v>2017</v>
      </c>
      <c r="P421" t="str">
        <f>IF(AND(Table3[[#This Row],[Performance]]&lt;=2,Table3[[#This Row],[Attrition]]="No"),"High Risk","Stable")</f>
        <v>Stable</v>
      </c>
    </row>
    <row r="422" spans="1:16" x14ac:dyDescent="0.25">
      <c r="A422" t="s">
        <v>483</v>
      </c>
      <c r="B422" t="s">
        <v>58</v>
      </c>
      <c r="C422" t="s">
        <v>14</v>
      </c>
      <c r="D422">
        <v>37</v>
      </c>
      <c r="E422" t="s">
        <v>67</v>
      </c>
      <c r="F422" t="s">
        <v>76</v>
      </c>
      <c r="G422">
        <v>43222</v>
      </c>
      <c r="H422">
        <v>0</v>
      </c>
      <c r="I422" s="1">
        <v>45617</v>
      </c>
      <c r="J422">
        <v>2</v>
      </c>
      <c r="K422" t="s">
        <v>42</v>
      </c>
      <c r="L422" t="s">
        <v>50</v>
      </c>
      <c r="M422" t="str">
        <f>IF(Table3[[#This Row],[Age]]&lt;30,"Young",IF(Table3[[#This Row],[Age]]&lt;=40,"Mid","Senior"))</f>
        <v>Mid</v>
      </c>
      <c r="N422" t="str">
        <f>IF(Table3[[#This Row],[Experience]]&lt;3,"Junior",IF(Table3[[#This Row],[Experience]]&lt;=7,"Mid","Senior"))</f>
        <v>Junior</v>
      </c>
      <c r="O422">
        <f>YEAR(Table3[[#This Row],[Joining_Date]])</f>
        <v>2024</v>
      </c>
      <c r="P422" t="str">
        <f>IF(AND(Table3[[#This Row],[Performance]]&lt;=2,Table3[[#This Row],[Attrition]]="No"),"High Risk","Stable")</f>
        <v>Stable</v>
      </c>
    </row>
    <row r="423" spans="1:16" x14ac:dyDescent="0.25">
      <c r="A423" t="s">
        <v>484</v>
      </c>
      <c r="B423" t="s">
        <v>20</v>
      </c>
      <c r="C423" t="s">
        <v>14</v>
      </c>
      <c r="D423">
        <v>26</v>
      </c>
      <c r="E423" t="s">
        <v>15</v>
      </c>
      <c r="F423" t="s">
        <v>30</v>
      </c>
      <c r="G423">
        <v>55078</v>
      </c>
      <c r="H423">
        <v>5</v>
      </c>
      <c r="I423" s="1">
        <v>43488</v>
      </c>
      <c r="J423">
        <v>5</v>
      </c>
      <c r="K423" t="s">
        <v>17</v>
      </c>
      <c r="L423" t="s">
        <v>31</v>
      </c>
      <c r="M423" t="str">
        <f>IF(Table3[[#This Row],[Age]]&lt;30,"Young",IF(Table3[[#This Row],[Age]]&lt;=40,"Mid","Senior"))</f>
        <v>Young</v>
      </c>
      <c r="N423" t="str">
        <f>IF(Table3[[#This Row],[Experience]]&lt;3,"Junior",IF(Table3[[#This Row],[Experience]]&lt;=7,"Mid","Senior"))</f>
        <v>Mid</v>
      </c>
      <c r="O423">
        <f>YEAR(Table3[[#This Row],[Joining_Date]])</f>
        <v>2019</v>
      </c>
      <c r="P423" t="str">
        <f>IF(AND(Table3[[#This Row],[Performance]]&lt;=2,Table3[[#This Row],[Attrition]]="No"),"High Risk","Stable")</f>
        <v>Stable</v>
      </c>
    </row>
    <row r="424" spans="1:16" x14ac:dyDescent="0.25">
      <c r="A424" t="s">
        <v>485</v>
      </c>
      <c r="B424" t="s">
        <v>63</v>
      </c>
      <c r="C424" t="s">
        <v>14</v>
      </c>
      <c r="D424">
        <v>37</v>
      </c>
      <c r="E424" t="s">
        <v>34</v>
      </c>
      <c r="F424" t="s">
        <v>52</v>
      </c>
      <c r="G424">
        <v>78348</v>
      </c>
      <c r="H424">
        <v>15</v>
      </c>
      <c r="I424" s="1">
        <v>42868</v>
      </c>
      <c r="J424">
        <v>5</v>
      </c>
      <c r="K424" t="s">
        <v>17</v>
      </c>
      <c r="L424" t="s">
        <v>18</v>
      </c>
      <c r="M424" t="str">
        <f>IF(Table3[[#This Row],[Age]]&lt;30,"Young",IF(Table3[[#This Row],[Age]]&lt;=40,"Mid","Senior"))</f>
        <v>Mid</v>
      </c>
      <c r="N424" t="str">
        <f>IF(Table3[[#This Row],[Experience]]&lt;3,"Junior",IF(Table3[[#This Row],[Experience]]&lt;=7,"Mid","Senior"))</f>
        <v>Senior</v>
      </c>
      <c r="O424">
        <f>YEAR(Table3[[#This Row],[Joining_Date]])</f>
        <v>2017</v>
      </c>
      <c r="P424" t="str">
        <f>IF(AND(Table3[[#This Row],[Performance]]&lt;=2,Table3[[#This Row],[Attrition]]="No"),"High Risk","Stable")</f>
        <v>Stable</v>
      </c>
    </row>
    <row r="425" spans="1:16" x14ac:dyDescent="0.25">
      <c r="A425" t="s">
        <v>486</v>
      </c>
      <c r="B425" t="s">
        <v>88</v>
      </c>
      <c r="C425" t="s">
        <v>21</v>
      </c>
      <c r="D425">
        <v>40</v>
      </c>
      <c r="E425" t="s">
        <v>15</v>
      </c>
      <c r="F425" t="s">
        <v>80</v>
      </c>
      <c r="G425">
        <v>54707</v>
      </c>
      <c r="H425">
        <v>5</v>
      </c>
      <c r="I425" s="1">
        <v>44583</v>
      </c>
      <c r="J425">
        <v>5</v>
      </c>
      <c r="K425" t="s">
        <v>42</v>
      </c>
      <c r="L425" t="s">
        <v>43</v>
      </c>
      <c r="M425" t="str">
        <f>IF(Table3[[#This Row],[Age]]&lt;30,"Young",IF(Table3[[#This Row],[Age]]&lt;=40,"Mid","Senior"))</f>
        <v>Mid</v>
      </c>
      <c r="N425" t="str">
        <f>IF(Table3[[#This Row],[Experience]]&lt;3,"Junior",IF(Table3[[#This Row],[Experience]]&lt;=7,"Mid","Senior"))</f>
        <v>Mid</v>
      </c>
      <c r="O425">
        <f>YEAR(Table3[[#This Row],[Joining_Date]])</f>
        <v>2022</v>
      </c>
      <c r="P425" t="str">
        <f>IF(AND(Table3[[#This Row],[Performance]]&lt;=2,Table3[[#This Row],[Attrition]]="No"),"High Risk","Stable")</f>
        <v>Stable</v>
      </c>
    </row>
    <row r="426" spans="1:16" x14ac:dyDescent="0.25">
      <c r="A426" t="s">
        <v>487</v>
      </c>
      <c r="B426" t="s">
        <v>33</v>
      </c>
      <c r="C426" t="s">
        <v>21</v>
      </c>
      <c r="D426">
        <v>27</v>
      </c>
      <c r="E426" t="s">
        <v>34</v>
      </c>
      <c r="F426" t="s">
        <v>35</v>
      </c>
      <c r="G426">
        <v>57819</v>
      </c>
      <c r="H426">
        <v>6</v>
      </c>
      <c r="I426" s="1">
        <v>45975</v>
      </c>
      <c r="J426">
        <v>5</v>
      </c>
      <c r="K426" t="s">
        <v>17</v>
      </c>
      <c r="L426" t="s">
        <v>39</v>
      </c>
      <c r="M426" t="str">
        <f>IF(Table3[[#This Row],[Age]]&lt;30,"Young",IF(Table3[[#This Row],[Age]]&lt;=40,"Mid","Senior"))</f>
        <v>Young</v>
      </c>
      <c r="N426" t="str">
        <f>IF(Table3[[#This Row],[Experience]]&lt;3,"Junior",IF(Table3[[#This Row],[Experience]]&lt;=7,"Mid","Senior"))</f>
        <v>Mid</v>
      </c>
      <c r="O426">
        <f>YEAR(Table3[[#This Row],[Joining_Date]])</f>
        <v>2025</v>
      </c>
      <c r="P426" t="str">
        <f>IF(AND(Table3[[#This Row],[Performance]]&lt;=2,Table3[[#This Row],[Attrition]]="No"),"High Risk","Stable")</f>
        <v>Stable</v>
      </c>
    </row>
    <row r="427" spans="1:16" x14ac:dyDescent="0.25">
      <c r="A427" t="s">
        <v>488</v>
      </c>
      <c r="B427" t="s">
        <v>101</v>
      </c>
      <c r="C427" t="s">
        <v>21</v>
      </c>
      <c r="D427">
        <v>41</v>
      </c>
      <c r="E427" t="s">
        <v>24</v>
      </c>
      <c r="F427" t="s">
        <v>25</v>
      </c>
      <c r="G427">
        <v>82391</v>
      </c>
      <c r="H427">
        <v>15</v>
      </c>
      <c r="I427" s="1">
        <v>42703</v>
      </c>
      <c r="J427">
        <v>2</v>
      </c>
      <c r="K427" t="s">
        <v>17</v>
      </c>
      <c r="L427" t="s">
        <v>43</v>
      </c>
      <c r="M427" t="str">
        <f>IF(Table3[[#This Row],[Age]]&lt;30,"Young",IF(Table3[[#This Row],[Age]]&lt;=40,"Mid","Senior"))</f>
        <v>Senior</v>
      </c>
      <c r="N427" t="str">
        <f>IF(Table3[[#This Row],[Experience]]&lt;3,"Junior",IF(Table3[[#This Row],[Experience]]&lt;=7,"Mid","Senior"))</f>
        <v>Senior</v>
      </c>
      <c r="O427">
        <f>YEAR(Table3[[#This Row],[Joining_Date]])</f>
        <v>2016</v>
      </c>
      <c r="P427" t="str">
        <f>IF(AND(Table3[[#This Row],[Performance]]&lt;=2,Table3[[#This Row],[Attrition]]="No"),"High Risk","Stable")</f>
        <v>High Risk</v>
      </c>
    </row>
    <row r="428" spans="1:16" x14ac:dyDescent="0.25">
      <c r="A428" t="s">
        <v>489</v>
      </c>
      <c r="B428" t="s">
        <v>54</v>
      </c>
      <c r="C428" t="s">
        <v>21</v>
      </c>
      <c r="D428">
        <v>36</v>
      </c>
      <c r="E428" t="s">
        <v>34</v>
      </c>
      <c r="F428" t="s">
        <v>41</v>
      </c>
      <c r="G428">
        <v>41765</v>
      </c>
      <c r="H428">
        <v>2</v>
      </c>
      <c r="I428" s="1">
        <v>43554</v>
      </c>
      <c r="J428">
        <v>4</v>
      </c>
      <c r="K428" t="s">
        <v>17</v>
      </c>
      <c r="L428" t="s">
        <v>31</v>
      </c>
      <c r="M428" t="str">
        <f>IF(Table3[[#This Row],[Age]]&lt;30,"Young",IF(Table3[[#This Row],[Age]]&lt;=40,"Mid","Senior"))</f>
        <v>Mid</v>
      </c>
      <c r="N428" t="str">
        <f>IF(Table3[[#This Row],[Experience]]&lt;3,"Junior",IF(Table3[[#This Row],[Experience]]&lt;=7,"Mid","Senior"))</f>
        <v>Junior</v>
      </c>
      <c r="O428">
        <f>YEAR(Table3[[#This Row],[Joining_Date]])</f>
        <v>2019</v>
      </c>
      <c r="P428" t="str">
        <f>IF(AND(Table3[[#This Row],[Performance]]&lt;=2,Table3[[#This Row],[Attrition]]="No"),"High Risk","Stable")</f>
        <v>Stable</v>
      </c>
    </row>
    <row r="429" spans="1:16" x14ac:dyDescent="0.25">
      <c r="A429" t="s">
        <v>490</v>
      </c>
      <c r="B429" t="s">
        <v>27</v>
      </c>
      <c r="C429" t="s">
        <v>21</v>
      </c>
      <c r="D429">
        <v>25</v>
      </c>
      <c r="E429" t="s">
        <v>34</v>
      </c>
      <c r="F429" t="s">
        <v>52</v>
      </c>
      <c r="G429">
        <v>50796</v>
      </c>
      <c r="H429">
        <v>4</v>
      </c>
      <c r="I429" s="1">
        <v>45697</v>
      </c>
      <c r="J429">
        <v>5</v>
      </c>
      <c r="K429" t="s">
        <v>17</v>
      </c>
      <c r="L429" t="s">
        <v>43</v>
      </c>
      <c r="M429" t="str">
        <f>IF(Table3[[#This Row],[Age]]&lt;30,"Young",IF(Table3[[#This Row],[Age]]&lt;=40,"Mid","Senior"))</f>
        <v>Young</v>
      </c>
      <c r="N429" t="str">
        <f>IF(Table3[[#This Row],[Experience]]&lt;3,"Junior",IF(Table3[[#This Row],[Experience]]&lt;=7,"Mid","Senior"))</f>
        <v>Mid</v>
      </c>
      <c r="O429">
        <f>YEAR(Table3[[#This Row],[Joining_Date]])</f>
        <v>2025</v>
      </c>
      <c r="P429" t="str">
        <f>IF(AND(Table3[[#This Row],[Performance]]&lt;=2,Table3[[#This Row],[Attrition]]="No"),"High Risk","Stable")</f>
        <v>Stable</v>
      </c>
    </row>
    <row r="430" spans="1:16" x14ac:dyDescent="0.25">
      <c r="A430" t="s">
        <v>491</v>
      </c>
      <c r="B430" t="s">
        <v>88</v>
      </c>
      <c r="C430" t="s">
        <v>14</v>
      </c>
      <c r="D430">
        <v>41</v>
      </c>
      <c r="E430" t="s">
        <v>15</v>
      </c>
      <c r="F430" t="s">
        <v>16</v>
      </c>
      <c r="G430">
        <v>52695</v>
      </c>
      <c r="H430">
        <v>0</v>
      </c>
      <c r="I430" s="1">
        <v>44784</v>
      </c>
      <c r="J430">
        <v>4</v>
      </c>
      <c r="K430" t="s">
        <v>17</v>
      </c>
      <c r="L430" t="s">
        <v>36</v>
      </c>
      <c r="M430" t="str">
        <f>IF(Table3[[#This Row],[Age]]&lt;30,"Young",IF(Table3[[#This Row],[Age]]&lt;=40,"Mid","Senior"))</f>
        <v>Senior</v>
      </c>
      <c r="N430" t="str">
        <f>IF(Table3[[#This Row],[Experience]]&lt;3,"Junior",IF(Table3[[#This Row],[Experience]]&lt;=7,"Mid","Senior"))</f>
        <v>Junior</v>
      </c>
      <c r="O430">
        <f>YEAR(Table3[[#This Row],[Joining_Date]])</f>
        <v>2022</v>
      </c>
      <c r="P430" t="str">
        <f>IF(AND(Table3[[#This Row],[Performance]]&lt;=2,Table3[[#This Row],[Attrition]]="No"),"High Risk","Stable")</f>
        <v>Stable</v>
      </c>
    </row>
    <row r="431" spans="1:16" x14ac:dyDescent="0.25">
      <c r="A431" t="s">
        <v>492</v>
      </c>
      <c r="B431" t="s">
        <v>13</v>
      </c>
      <c r="C431" t="s">
        <v>14</v>
      </c>
      <c r="D431">
        <v>37</v>
      </c>
      <c r="E431" t="s">
        <v>15</v>
      </c>
      <c r="F431" t="s">
        <v>30</v>
      </c>
      <c r="G431">
        <v>75742</v>
      </c>
      <c r="H431">
        <v>12</v>
      </c>
      <c r="I431" s="1">
        <v>44417</v>
      </c>
      <c r="J431">
        <v>5</v>
      </c>
      <c r="K431" t="s">
        <v>17</v>
      </c>
      <c r="L431" t="s">
        <v>50</v>
      </c>
      <c r="M431" t="str">
        <f>IF(Table3[[#This Row],[Age]]&lt;30,"Young",IF(Table3[[#This Row],[Age]]&lt;=40,"Mid","Senior"))</f>
        <v>Mid</v>
      </c>
      <c r="N431" t="str">
        <f>IF(Table3[[#This Row],[Experience]]&lt;3,"Junior",IF(Table3[[#This Row],[Experience]]&lt;=7,"Mid","Senior"))</f>
        <v>Senior</v>
      </c>
      <c r="O431">
        <f>YEAR(Table3[[#This Row],[Joining_Date]])</f>
        <v>2021</v>
      </c>
      <c r="P431" t="str">
        <f>IF(AND(Table3[[#This Row],[Performance]]&lt;=2,Table3[[#This Row],[Attrition]]="No"),"High Risk","Stable")</f>
        <v>Stable</v>
      </c>
    </row>
    <row r="432" spans="1:16" x14ac:dyDescent="0.25">
      <c r="A432" t="s">
        <v>493</v>
      </c>
      <c r="B432" t="s">
        <v>60</v>
      </c>
      <c r="C432" t="s">
        <v>21</v>
      </c>
      <c r="D432">
        <v>31</v>
      </c>
      <c r="E432" t="s">
        <v>24</v>
      </c>
      <c r="F432" t="s">
        <v>49</v>
      </c>
      <c r="G432">
        <v>66223</v>
      </c>
      <c r="H432">
        <v>10</v>
      </c>
      <c r="I432" s="1">
        <v>42779</v>
      </c>
      <c r="J432">
        <v>1</v>
      </c>
      <c r="K432" t="s">
        <v>17</v>
      </c>
      <c r="L432" t="s">
        <v>43</v>
      </c>
      <c r="M432" t="str">
        <f>IF(Table3[[#This Row],[Age]]&lt;30,"Young",IF(Table3[[#This Row],[Age]]&lt;=40,"Mid","Senior"))</f>
        <v>Mid</v>
      </c>
      <c r="N432" t="str">
        <f>IF(Table3[[#This Row],[Experience]]&lt;3,"Junior",IF(Table3[[#This Row],[Experience]]&lt;=7,"Mid","Senior"))</f>
        <v>Senior</v>
      </c>
      <c r="O432">
        <f>YEAR(Table3[[#This Row],[Joining_Date]])</f>
        <v>2017</v>
      </c>
      <c r="P432" t="str">
        <f>IF(AND(Table3[[#This Row],[Performance]]&lt;=2,Table3[[#This Row],[Attrition]]="No"),"High Risk","Stable")</f>
        <v>High Risk</v>
      </c>
    </row>
    <row r="433" spans="1:16" x14ac:dyDescent="0.25">
      <c r="A433" t="s">
        <v>494</v>
      </c>
      <c r="B433" t="s">
        <v>45</v>
      </c>
      <c r="C433" t="s">
        <v>21</v>
      </c>
      <c r="D433">
        <v>42</v>
      </c>
      <c r="E433" t="s">
        <v>15</v>
      </c>
      <c r="F433" t="s">
        <v>30</v>
      </c>
      <c r="G433">
        <v>66268</v>
      </c>
      <c r="H433">
        <v>6</v>
      </c>
      <c r="I433" s="1">
        <v>45299</v>
      </c>
      <c r="J433">
        <v>3</v>
      </c>
      <c r="K433" t="s">
        <v>17</v>
      </c>
      <c r="L433" t="s">
        <v>31</v>
      </c>
      <c r="M433" t="str">
        <f>IF(Table3[[#This Row],[Age]]&lt;30,"Young",IF(Table3[[#This Row],[Age]]&lt;=40,"Mid","Senior"))</f>
        <v>Senior</v>
      </c>
      <c r="N433" t="str">
        <f>IF(Table3[[#This Row],[Experience]]&lt;3,"Junior",IF(Table3[[#This Row],[Experience]]&lt;=7,"Mid","Senior"))</f>
        <v>Mid</v>
      </c>
      <c r="O433">
        <f>YEAR(Table3[[#This Row],[Joining_Date]])</f>
        <v>2024</v>
      </c>
      <c r="P433" t="str">
        <f>IF(AND(Table3[[#This Row],[Performance]]&lt;=2,Table3[[#This Row],[Attrition]]="No"),"High Risk","Stable")</f>
        <v>Stable</v>
      </c>
    </row>
    <row r="434" spans="1:16" x14ac:dyDescent="0.25">
      <c r="A434" t="s">
        <v>495</v>
      </c>
      <c r="B434" t="s">
        <v>33</v>
      </c>
      <c r="C434" t="s">
        <v>14</v>
      </c>
      <c r="D434">
        <v>39</v>
      </c>
      <c r="E434" t="s">
        <v>34</v>
      </c>
      <c r="F434" t="s">
        <v>52</v>
      </c>
      <c r="G434">
        <v>74751</v>
      </c>
      <c r="H434">
        <v>13</v>
      </c>
      <c r="I434" s="1">
        <v>43502</v>
      </c>
      <c r="J434">
        <v>5</v>
      </c>
      <c r="K434" t="s">
        <v>17</v>
      </c>
      <c r="L434" t="s">
        <v>39</v>
      </c>
      <c r="M434" t="str">
        <f>IF(Table3[[#This Row],[Age]]&lt;30,"Young",IF(Table3[[#This Row],[Age]]&lt;=40,"Mid","Senior"))</f>
        <v>Mid</v>
      </c>
      <c r="N434" t="str">
        <f>IF(Table3[[#This Row],[Experience]]&lt;3,"Junior",IF(Table3[[#This Row],[Experience]]&lt;=7,"Mid","Senior"))</f>
        <v>Senior</v>
      </c>
      <c r="O434">
        <f>YEAR(Table3[[#This Row],[Joining_Date]])</f>
        <v>2019</v>
      </c>
      <c r="P434" t="str">
        <f>IF(AND(Table3[[#This Row],[Performance]]&lt;=2,Table3[[#This Row],[Attrition]]="No"),"High Risk","Stable")</f>
        <v>Stable</v>
      </c>
    </row>
    <row r="435" spans="1:16" x14ac:dyDescent="0.25">
      <c r="A435" t="s">
        <v>496</v>
      </c>
      <c r="B435" t="s">
        <v>38</v>
      </c>
      <c r="C435" t="s">
        <v>14</v>
      </c>
      <c r="D435">
        <v>39</v>
      </c>
      <c r="E435" t="s">
        <v>67</v>
      </c>
      <c r="F435" t="s">
        <v>68</v>
      </c>
      <c r="G435">
        <v>75428</v>
      </c>
      <c r="H435">
        <v>15</v>
      </c>
      <c r="I435" s="1">
        <v>43521</v>
      </c>
      <c r="J435">
        <v>5</v>
      </c>
      <c r="K435" t="s">
        <v>17</v>
      </c>
      <c r="L435" t="s">
        <v>36</v>
      </c>
      <c r="M435" t="str">
        <f>IF(Table3[[#This Row],[Age]]&lt;30,"Young",IF(Table3[[#This Row],[Age]]&lt;=40,"Mid","Senior"))</f>
        <v>Mid</v>
      </c>
      <c r="N435" t="str">
        <f>IF(Table3[[#This Row],[Experience]]&lt;3,"Junior",IF(Table3[[#This Row],[Experience]]&lt;=7,"Mid","Senior"))</f>
        <v>Senior</v>
      </c>
      <c r="O435">
        <f>YEAR(Table3[[#This Row],[Joining_Date]])</f>
        <v>2019</v>
      </c>
      <c r="P435" t="str">
        <f>IF(AND(Table3[[#This Row],[Performance]]&lt;=2,Table3[[#This Row],[Attrition]]="No"),"High Risk","Stable")</f>
        <v>Stable</v>
      </c>
    </row>
    <row r="436" spans="1:16" x14ac:dyDescent="0.25">
      <c r="A436" t="s">
        <v>497</v>
      </c>
      <c r="B436" t="s">
        <v>88</v>
      </c>
      <c r="C436" t="s">
        <v>14</v>
      </c>
      <c r="D436">
        <v>43</v>
      </c>
      <c r="E436" t="s">
        <v>24</v>
      </c>
      <c r="F436" t="s">
        <v>124</v>
      </c>
      <c r="G436">
        <v>56752</v>
      </c>
      <c r="H436">
        <v>3</v>
      </c>
      <c r="I436" s="1">
        <v>42946</v>
      </c>
      <c r="J436">
        <v>4</v>
      </c>
      <c r="K436" t="s">
        <v>17</v>
      </c>
      <c r="L436" t="s">
        <v>50</v>
      </c>
      <c r="M436" t="str">
        <f>IF(Table3[[#This Row],[Age]]&lt;30,"Young",IF(Table3[[#This Row],[Age]]&lt;=40,"Mid","Senior"))</f>
        <v>Senior</v>
      </c>
      <c r="N436" t="str">
        <f>IF(Table3[[#This Row],[Experience]]&lt;3,"Junior",IF(Table3[[#This Row],[Experience]]&lt;=7,"Mid","Senior"))</f>
        <v>Mid</v>
      </c>
      <c r="O436">
        <f>YEAR(Table3[[#This Row],[Joining_Date]])</f>
        <v>2017</v>
      </c>
      <c r="P436" t="str">
        <f>IF(AND(Table3[[#This Row],[Performance]]&lt;=2,Table3[[#This Row],[Attrition]]="No"),"High Risk","Stable")</f>
        <v>Stable</v>
      </c>
    </row>
    <row r="437" spans="1:16" x14ac:dyDescent="0.25">
      <c r="A437" t="s">
        <v>498</v>
      </c>
      <c r="B437" t="s">
        <v>54</v>
      </c>
      <c r="C437" t="s">
        <v>14</v>
      </c>
      <c r="D437">
        <v>39</v>
      </c>
      <c r="E437" t="s">
        <v>15</v>
      </c>
      <c r="F437" t="s">
        <v>80</v>
      </c>
      <c r="G437">
        <v>45133</v>
      </c>
      <c r="H437">
        <v>1</v>
      </c>
      <c r="I437" s="1">
        <v>43598</v>
      </c>
      <c r="J437">
        <v>1</v>
      </c>
      <c r="K437" t="s">
        <v>17</v>
      </c>
      <c r="L437" t="s">
        <v>18</v>
      </c>
      <c r="M437" t="str">
        <f>IF(Table3[[#This Row],[Age]]&lt;30,"Young",IF(Table3[[#This Row],[Age]]&lt;=40,"Mid","Senior"))</f>
        <v>Mid</v>
      </c>
      <c r="N437" t="str">
        <f>IF(Table3[[#This Row],[Experience]]&lt;3,"Junior",IF(Table3[[#This Row],[Experience]]&lt;=7,"Mid","Senior"))</f>
        <v>Junior</v>
      </c>
      <c r="O437">
        <f>YEAR(Table3[[#This Row],[Joining_Date]])</f>
        <v>2019</v>
      </c>
      <c r="P437" t="str">
        <f>IF(AND(Table3[[#This Row],[Performance]]&lt;=2,Table3[[#This Row],[Attrition]]="No"),"High Risk","Stable")</f>
        <v>High Risk</v>
      </c>
    </row>
    <row r="438" spans="1:16" x14ac:dyDescent="0.25">
      <c r="A438" t="s">
        <v>499</v>
      </c>
      <c r="B438" t="s">
        <v>33</v>
      </c>
      <c r="C438" t="s">
        <v>21</v>
      </c>
      <c r="D438">
        <v>29</v>
      </c>
      <c r="E438" t="s">
        <v>67</v>
      </c>
      <c r="F438" t="s">
        <v>97</v>
      </c>
      <c r="G438">
        <v>56311</v>
      </c>
      <c r="H438">
        <v>8</v>
      </c>
      <c r="I438" s="1">
        <v>44499</v>
      </c>
      <c r="J438">
        <v>1</v>
      </c>
      <c r="K438" t="s">
        <v>17</v>
      </c>
      <c r="L438" t="s">
        <v>18</v>
      </c>
      <c r="M438" t="str">
        <f>IF(Table3[[#This Row],[Age]]&lt;30,"Young",IF(Table3[[#This Row],[Age]]&lt;=40,"Mid","Senior"))</f>
        <v>Young</v>
      </c>
      <c r="N438" t="str">
        <f>IF(Table3[[#This Row],[Experience]]&lt;3,"Junior",IF(Table3[[#This Row],[Experience]]&lt;=7,"Mid","Senior"))</f>
        <v>Senior</v>
      </c>
      <c r="O438">
        <f>YEAR(Table3[[#This Row],[Joining_Date]])</f>
        <v>2021</v>
      </c>
      <c r="P438" t="str">
        <f>IF(AND(Table3[[#This Row],[Performance]]&lt;=2,Table3[[#This Row],[Attrition]]="No"),"High Risk","Stable")</f>
        <v>High Risk</v>
      </c>
    </row>
    <row r="439" spans="1:16" x14ac:dyDescent="0.25">
      <c r="A439" t="s">
        <v>500</v>
      </c>
      <c r="B439" t="s">
        <v>58</v>
      </c>
      <c r="C439" t="s">
        <v>21</v>
      </c>
      <c r="D439">
        <v>36</v>
      </c>
      <c r="E439" t="s">
        <v>24</v>
      </c>
      <c r="F439" t="s">
        <v>25</v>
      </c>
      <c r="G439">
        <v>40304</v>
      </c>
      <c r="H439">
        <v>0</v>
      </c>
      <c r="I439" s="1">
        <v>45488</v>
      </c>
      <c r="J439">
        <v>5</v>
      </c>
      <c r="K439" t="s">
        <v>17</v>
      </c>
      <c r="L439" t="s">
        <v>31</v>
      </c>
      <c r="M439" t="str">
        <f>IF(Table3[[#This Row],[Age]]&lt;30,"Young",IF(Table3[[#This Row],[Age]]&lt;=40,"Mid","Senior"))</f>
        <v>Mid</v>
      </c>
      <c r="N439" t="str">
        <f>IF(Table3[[#This Row],[Experience]]&lt;3,"Junior",IF(Table3[[#This Row],[Experience]]&lt;=7,"Mid","Senior"))</f>
        <v>Junior</v>
      </c>
      <c r="O439">
        <f>YEAR(Table3[[#This Row],[Joining_Date]])</f>
        <v>2024</v>
      </c>
      <c r="P439" t="str">
        <f>IF(AND(Table3[[#This Row],[Performance]]&lt;=2,Table3[[#This Row],[Attrition]]="No"),"High Risk","Stable")</f>
        <v>Stable</v>
      </c>
    </row>
    <row r="440" spans="1:16" x14ac:dyDescent="0.25">
      <c r="A440" t="s">
        <v>501</v>
      </c>
      <c r="B440" t="s">
        <v>48</v>
      </c>
      <c r="C440" t="s">
        <v>21</v>
      </c>
      <c r="D440">
        <v>29</v>
      </c>
      <c r="E440" t="s">
        <v>34</v>
      </c>
      <c r="F440" t="s">
        <v>74</v>
      </c>
      <c r="G440">
        <v>35579</v>
      </c>
      <c r="H440">
        <v>0</v>
      </c>
      <c r="I440" s="1">
        <v>42360</v>
      </c>
      <c r="J440">
        <v>3</v>
      </c>
      <c r="K440" t="s">
        <v>17</v>
      </c>
      <c r="L440" t="s">
        <v>36</v>
      </c>
      <c r="M440" t="str">
        <f>IF(Table3[[#This Row],[Age]]&lt;30,"Young",IF(Table3[[#This Row],[Age]]&lt;=40,"Mid","Senior"))</f>
        <v>Young</v>
      </c>
      <c r="N440" t="str">
        <f>IF(Table3[[#This Row],[Experience]]&lt;3,"Junior",IF(Table3[[#This Row],[Experience]]&lt;=7,"Mid","Senior"))</f>
        <v>Junior</v>
      </c>
      <c r="O440">
        <f>YEAR(Table3[[#This Row],[Joining_Date]])</f>
        <v>2015</v>
      </c>
      <c r="P440" t="str">
        <f>IF(AND(Table3[[#This Row],[Performance]]&lt;=2,Table3[[#This Row],[Attrition]]="No"),"High Risk","Stable")</f>
        <v>Stable</v>
      </c>
    </row>
    <row r="441" spans="1:16" x14ac:dyDescent="0.25">
      <c r="A441" t="s">
        <v>502</v>
      </c>
      <c r="B441" t="s">
        <v>199</v>
      </c>
      <c r="C441" t="s">
        <v>21</v>
      </c>
      <c r="D441">
        <v>22</v>
      </c>
      <c r="E441" t="s">
        <v>67</v>
      </c>
      <c r="F441" t="s">
        <v>110</v>
      </c>
      <c r="G441">
        <v>38977</v>
      </c>
      <c r="H441">
        <v>1</v>
      </c>
      <c r="I441" s="1">
        <v>44256</v>
      </c>
      <c r="J441">
        <v>3</v>
      </c>
      <c r="K441" t="s">
        <v>17</v>
      </c>
      <c r="L441" t="s">
        <v>43</v>
      </c>
      <c r="M441" t="str">
        <f>IF(Table3[[#This Row],[Age]]&lt;30,"Young",IF(Table3[[#This Row],[Age]]&lt;=40,"Mid","Senior"))</f>
        <v>Young</v>
      </c>
      <c r="N441" t="str">
        <f>IF(Table3[[#This Row],[Experience]]&lt;3,"Junior",IF(Table3[[#This Row],[Experience]]&lt;=7,"Mid","Senior"))</f>
        <v>Junior</v>
      </c>
      <c r="O441">
        <f>YEAR(Table3[[#This Row],[Joining_Date]])</f>
        <v>2021</v>
      </c>
      <c r="P441" t="str">
        <f>IF(AND(Table3[[#This Row],[Performance]]&lt;=2,Table3[[#This Row],[Attrition]]="No"),"High Risk","Stable")</f>
        <v>Stable</v>
      </c>
    </row>
    <row r="442" spans="1:16" x14ac:dyDescent="0.25">
      <c r="A442" t="s">
        <v>503</v>
      </c>
      <c r="B442" t="s">
        <v>13</v>
      </c>
      <c r="C442" t="s">
        <v>14</v>
      </c>
      <c r="D442">
        <v>41</v>
      </c>
      <c r="E442" t="s">
        <v>24</v>
      </c>
      <c r="F442" t="s">
        <v>124</v>
      </c>
      <c r="G442">
        <v>59450</v>
      </c>
      <c r="H442">
        <v>6</v>
      </c>
      <c r="I442" s="1">
        <v>45813</v>
      </c>
      <c r="J442">
        <v>4</v>
      </c>
      <c r="K442" t="s">
        <v>17</v>
      </c>
      <c r="L442" t="s">
        <v>36</v>
      </c>
      <c r="M442" t="str">
        <f>IF(Table3[[#This Row],[Age]]&lt;30,"Young",IF(Table3[[#This Row],[Age]]&lt;=40,"Mid","Senior"))</f>
        <v>Senior</v>
      </c>
      <c r="N442" t="str">
        <f>IF(Table3[[#This Row],[Experience]]&lt;3,"Junior",IF(Table3[[#This Row],[Experience]]&lt;=7,"Mid","Senior"))</f>
        <v>Mid</v>
      </c>
      <c r="O442">
        <f>YEAR(Table3[[#This Row],[Joining_Date]])</f>
        <v>2025</v>
      </c>
      <c r="P442" t="str">
        <f>IF(AND(Table3[[#This Row],[Performance]]&lt;=2,Table3[[#This Row],[Attrition]]="No"),"High Risk","Stable")</f>
        <v>Stable</v>
      </c>
    </row>
    <row r="443" spans="1:16" x14ac:dyDescent="0.25">
      <c r="A443" t="s">
        <v>504</v>
      </c>
      <c r="B443" t="s">
        <v>38</v>
      </c>
      <c r="C443" t="s">
        <v>21</v>
      </c>
      <c r="D443">
        <v>24</v>
      </c>
      <c r="E443" t="s">
        <v>34</v>
      </c>
      <c r="F443" t="s">
        <v>52</v>
      </c>
      <c r="G443">
        <v>46070</v>
      </c>
      <c r="H443">
        <v>3</v>
      </c>
      <c r="I443" s="1">
        <v>45883</v>
      </c>
      <c r="J443">
        <v>1</v>
      </c>
      <c r="K443" t="s">
        <v>17</v>
      </c>
      <c r="L443" t="s">
        <v>43</v>
      </c>
      <c r="M443" t="str">
        <f>IF(Table3[[#This Row],[Age]]&lt;30,"Young",IF(Table3[[#This Row],[Age]]&lt;=40,"Mid","Senior"))</f>
        <v>Young</v>
      </c>
      <c r="N443" t="str">
        <f>IF(Table3[[#This Row],[Experience]]&lt;3,"Junior",IF(Table3[[#This Row],[Experience]]&lt;=7,"Mid","Senior"))</f>
        <v>Mid</v>
      </c>
      <c r="O443">
        <f>YEAR(Table3[[#This Row],[Joining_Date]])</f>
        <v>2025</v>
      </c>
      <c r="P443" t="str">
        <f>IF(AND(Table3[[#This Row],[Performance]]&lt;=2,Table3[[#This Row],[Attrition]]="No"),"High Risk","Stable")</f>
        <v>High Risk</v>
      </c>
    </row>
    <row r="444" spans="1:16" x14ac:dyDescent="0.25">
      <c r="A444" t="s">
        <v>505</v>
      </c>
      <c r="B444" t="s">
        <v>66</v>
      </c>
      <c r="C444" t="s">
        <v>14</v>
      </c>
      <c r="D444">
        <v>37</v>
      </c>
      <c r="E444" t="s">
        <v>24</v>
      </c>
      <c r="F444" t="s">
        <v>49</v>
      </c>
      <c r="G444">
        <v>66910</v>
      </c>
      <c r="H444">
        <v>7</v>
      </c>
      <c r="I444" s="1">
        <v>43396</v>
      </c>
      <c r="J444">
        <v>4</v>
      </c>
      <c r="K444" t="s">
        <v>17</v>
      </c>
      <c r="L444" t="s">
        <v>43</v>
      </c>
      <c r="M444" t="str">
        <f>IF(Table3[[#This Row],[Age]]&lt;30,"Young",IF(Table3[[#This Row],[Age]]&lt;=40,"Mid","Senior"))</f>
        <v>Mid</v>
      </c>
      <c r="N444" t="str">
        <f>IF(Table3[[#This Row],[Experience]]&lt;3,"Junior",IF(Table3[[#This Row],[Experience]]&lt;=7,"Mid","Senior"))</f>
        <v>Mid</v>
      </c>
      <c r="O444">
        <f>YEAR(Table3[[#This Row],[Joining_Date]])</f>
        <v>2018</v>
      </c>
      <c r="P444" t="str">
        <f>IF(AND(Table3[[#This Row],[Performance]]&lt;=2,Table3[[#This Row],[Attrition]]="No"),"High Risk","Stable")</f>
        <v>Stable</v>
      </c>
    </row>
    <row r="445" spans="1:16" x14ac:dyDescent="0.25">
      <c r="A445" t="s">
        <v>506</v>
      </c>
      <c r="B445" t="s">
        <v>33</v>
      </c>
      <c r="C445" t="s">
        <v>21</v>
      </c>
      <c r="D445">
        <v>24</v>
      </c>
      <c r="E445" t="s">
        <v>15</v>
      </c>
      <c r="F445" t="s">
        <v>71</v>
      </c>
      <c r="G445">
        <v>57881</v>
      </c>
      <c r="H445">
        <v>3</v>
      </c>
      <c r="I445" s="1">
        <v>45235</v>
      </c>
      <c r="J445">
        <v>2</v>
      </c>
      <c r="K445" t="s">
        <v>17</v>
      </c>
      <c r="L445" t="s">
        <v>36</v>
      </c>
      <c r="M445" t="str">
        <f>IF(Table3[[#This Row],[Age]]&lt;30,"Young",IF(Table3[[#This Row],[Age]]&lt;=40,"Mid","Senior"))</f>
        <v>Young</v>
      </c>
      <c r="N445" t="str">
        <f>IF(Table3[[#This Row],[Experience]]&lt;3,"Junior",IF(Table3[[#This Row],[Experience]]&lt;=7,"Mid","Senior"))</f>
        <v>Mid</v>
      </c>
      <c r="O445">
        <f>YEAR(Table3[[#This Row],[Joining_Date]])</f>
        <v>2023</v>
      </c>
      <c r="P445" t="str">
        <f>IF(AND(Table3[[#This Row],[Performance]]&lt;=2,Table3[[#This Row],[Attrition]]="No"),"High Risk","Stable")</f>
        <v>High Risk</v>
      </c>
    </row>
    <row r="446" spans="1:16" x14ac:dyDescent="0.25">
      <c r="A446" t="s">
        <v>507</v>
      </c>
      <c r="B446" t="s">
        <v>33</v>
      </c>
      <c r="C446" t="s">
        <v>21</v>
      </c>
      <c r="D446">
        <v>29</v>
      </c>
      <c r="E446" t="s">
        <v>67</v>
      </c>
      <c r="F446" t="s">
        <v>76</v>
      </c>
      <c r="G446">
        <v>56523</v>
      </c>
      <c r="H446">
        <v>8</v>
      </c>
      <c r="I446" s="1">
        <v>43639</v>
      </c>
      <c r="J446">
        <v>3</v>
      </c>
      <c r="K446" t="s">
        <v>42</v>
      </c>
      <c r="L446" t="s">
        <v>50</v>
      </c>
      <c r="M446" t="str">
        <f>IF(Table3[[#This Row],[Age]]&lt;30,"Young",IF(Table3[[#This Row],[Age]]&lt;=40,"Mid","Senior"))</f>
        <v>Young</v>
      </c>
      <c r="N446" t="str">
        <f>IF(Table3[[#This Row],[Experience]]&lt;3,"Junior",IF(Table3[[#This Row],[Experience]]&lt;=7,"Mid","Senior"))</f>
        <v>Senior</v>
      </c>
      <c r="O446">
        <f>YEAR(Table3[[#This Row],[Joining_Date]])</f>
        <v>2019</v>
      </c>
      <c r="P446" t="str">
        <f>IF(AND(Table3[[#This Row],[Performance]]&lt;=2,Table3[[#This Row],[Attrition]]="No"),"High Risk","Stable")</f>
        <v>Stable</v>
      </c>
    </row>
    <row r="447" spans="1:16" x14ac:dyDescent="0.25">
      <c r="A447" t="s">
        <v>508</v>
      </c>
      <c r="B447" t="s">
        <v>20</v>
      </c>
      <c r="C447" t="s">
        <v>14</v>
      </c>
      <c r="D447">
        <v>40</v>
      </c>
      <c r="E447" t="s">
        <v>67</v>
      </c>
      <c r="F447" t="s">
        <v>76</v>
      </c>
      <c r="G447">
        <v>57994</v>
      </c>
      <c r="H447">
        <v>8</v>
      </c>
      <c r="I447" s="1">
        <v>45884</v>
      </c>
      <c r="J447">
        <v>2</v>
      </c>
      <c r="K447" t="s">
        <v>17</v>
      </c>
      <c r="L447" t="s">
        <v>39</v>
      </c>
      <c r="M447" t="str">
        <f>IF(Table3[[#This Row],[Age]]&lt;30,"Young",IF(Table3[[#This Row],[Age]]&lt;=40,"Mid","Senior"))</f>
        <v>Mid</v>
      </c>
      <c r="N447" t="str">
        <f>IF(Table3[[#This Row],[Experience]]&lt;3,"Junior",IF(Table3[[#This Row],[Experience]]&lt;=7,"Mid","Senior"))</f>
        <v>Senior</v>
      </c>
      <c r="O447">
        <f>YEAR(Table3[[#This Row],[Joining_Date]])</f>
        <v>2025</v>
      </c>
      <c r="P447" t="str">
        <f>IF(AND(Table3[[#This Row],[Performance]]&lt;=2,Table3[[#This Row],[Attrition]]="No"),"High Risk","Stable")</f>
        <v>High Risk</v>
      </c>
    </row>
    <row r="448" spans="1:16" x14ac:dyDescent="0.25">
      <c r="A448" t="s">
        <v>509</v>
      </c>
      <c r="B448" t="s">
        <v>13</v>
      </c>
      <c r="C448" t="s">
        <v>21</v>
      </c>
      <c r="D448">
        <v>28</v>
      </c>
      <c r="E448" t="s">
        <v>34</v>
      </c>
      <c r="F448" t="s">
        <v>41</v>
      </c>
      <c r="G448">
        <v>60635</v>
      </c>
      <c r="H448">
        <v>7</v>
      </c>
      <c r="I448" s="1">
        <v>43463</v>
      </c>
      <c r="J448">
        <v>2</v>
      </c>
      <c r="K448" t="s">
        <v>17</v>
      </c>
      <c r="L448" t="s">
        <v>31</v>
      </c>
      <c r="M448" t="str">
        <f>IF(Table3[[#This Row],[Age]]&lt;30,"Young",IF(Table3[[#This Row],[Age]]&lt;=40,"Mid","Senior"))</f>
        <v>Young</v>
      </c>
      <c r="N448" t="str">
        <f>IF(Table3[[#This Row],[Experience]]&lt;3,"Junior",IF(Table3[[#This Row],[Experience]]&lt;=7,"Mid","Senior"))</f>
        <v>Mid</v>
      </c>
      <c r="O448">
        <f>YEAR(Table3[[#This Row],[Joining_Date]])</f>
        <v>2018</v>
      </c>
      <c r="P448" t="str">
        <f>IF(AND(Table3[[#This Row],[Performance]]&lt;=2,Table3[[#This Row],[Attrition]]="No"),"High Risk","Stable")</f>
        <v>High Risk</v>
      </c>
    </row>
    <row r="449" spans="1:16" x14ac:dyDescent="0.25">
      <c r="A449" t="s">
        <v>510</v>
      </c>
      <c r="B449" t="s">
        <v>58</v>
      </c>
      <c r="C449" t="s">
        <v>21</v>
      </c>
      <c r="D449">
        <v>33</v>
      </c>
      <c r="E449" t="s">
        <v>67</v>
      </c>
      <c r="F449" t="s">
        <v>97</v>
      </c>
      <c r="G449">
        <v>68066</v>
      </c>
      <c r="H449">
        <v>10</v>
      </c>
      <c r="I449" s="1">
        <v>45683</v>
      </c>
      <c r="J449">
        <v>5</v>
      </c>
      <c r="K449" t="s">
        <v>17</v>
      </c>
      <c r="L449" t="s">
        <v>18</v>
      </c>
      <c r="M449" t="str">
        <f>IF(Table3[[#This Row],[Age]]&lt;30,"Young",IF(Table3[[#This Row],[Age]]&lt;=40,"Mid","Senior"))</f>
        <v>Mid</v>
      </c>
      <c r="N449" t="str">
        <f>IF(Table3[[#This Row],[Experience]]&lt;3,"Junior",IF(Table3[[#This Row],[Experience]]&lt;=7,"Mid","Senior"))</f>
        <v>Senior</v>
      </c>
      <c r="O449">
        <f>YEAR(Table3[[#This Row],[Joining_Date]])</f>
        <v>2025</v>
      </c>
      <c r="P449" t="str">
        <f>IF(AND(Table3[[#This Row],[Performance]]&lt;=2,Table3[[#This Row],[Attrition]]="No"),"High Risk","Stable")</f>
        <v>Stable</v>
      </c>
    </row>
    <row r="450" spans="1:16" x14ac:dyDescent="0.25">
      <c r="A450" t="s">
        <v>511</v>
      </c>
      <c r="B450" t="s">
        <v>13</v>
      </c>
      <c r="C450" t="s">
        <v>14</v>
      </c>
      <c r="D450">
        <v>40</v>
      </c>
      <c r="E450" t="s">
        <v>34</v>
      </c>
      <c r="F450" t="s">
        <v>41</v>
      </c>
      <c r="G450">
        <v>43887</v>
      </c>
      <c r="H450">
        <v>4</v>
      </c>
      <c r="I450" s="1">
        <v>44158</v>
      </c>
      <c r="J450">
        <v>4</v>
      </c>
      <c r="K450" t="s">
        <v>17</v>
      </c>
      <c r="L450" t="s">
        <v>43</v>
      </c>
      <c r="M450" t="str">
        <f>IF(Table3[[#This Row],[Age]]&lt;30,"Young",IF(Table3[[#This Row],[Age]]&lt;=40,"Mid","Senior"))</f>
        <v>Mid</v>
      </c>
      <c r="N450" t="str">
        <f>IF(Table3[[#This Row],[Experience]]&lt;3,"Junior",IF(Table3[[#This Row],[Experience]]&lt;=7,"Mid","Senior"))</f>
        <v>Mid</v>
      </c>
      <c r="O450">
        <f>YEAR(Table3[[#This Row],[Joining_Date]])</f>
        <v>2020</v>
      </c>
      <c r="P450" t="str">
        <f>IF(AND(Table3[[#This Row],[Performance]]&lt;=2,Table3[[#This Row],[Attrition]]="No"),"High Risk","Stable")</f>
        <v>Stable</v>
      </c>
    </row>
    <row r="451" spans="1:16" x14ac:dyDescent="0.25">
      <c r="A451" t="s">
        <v>512</v>
      </c>
      <c r="B451" t="s">
        <v>45</v>
      </c>
      <c r="C451" t="s">
        <v>14</v>
      </c>
      <c r="D451">
        <v>43</v>
      </c>
      <c r="E451" t="s">
        <v>15</v>
      </c>
      <c r="F451" t="s">
        <v>30</v>
      </c>
      <c r="G451">
        <v>59990</v>
      </c>
      <c r="H451">
        <v>5</v>
      </c>
      <c r="I451" s="1">
        <v>46004</v>
      </c>
      <c r="J451">
        <v>1</v>
      </c>
      <c r="K451" t="s">
        <v>17</v>
      </c>
      <c r="L451" t="s">
        <v>39</v>
      </c>
      <c r="M451" t="str">
        <f>IF(Table3[[#This Row],[Age]]&lt;30,"Young",IF(Table3[[#This Row],[Age]]&lt;=40,"Mid","Senior"))</f>
        <v>Senior</v>
      </c>
      <c r="N451" t="str">
        <f>IF(Table3[[#This Row],[Experience]]&lt;3,"Junior",IF(Table3[[#This Row],[Experience]]&lt;=7,"Mid","Senior"))</f>
        <v>Mid</v>
      </c>
      <c r="O451">
        <f>YEAR(Table3[[#This Row],[Joining_Date]])</f>
        <v>2025</v>
      </c>
      <c r="P451" t="str">
        <f>IF(AND(Table3[[#This Row],[Performance]]&lt;=2,Table3[[#This Row],[Attrition]]="No"),"High Risk","Stable")</f>
        <v>High Risk</v>
      </c>
    </row>
    <row r="452" spans="1:16" x14ac:dyDescent="0.25">
      <c r="A452" t="s">
        <v>513</v>
      </c>
      <c r="B452" t="s">
        <v>45</v>
      </c>
      <c r="C452" t="s">
        <v>21</v>
      </c>
      <c r="D452">
        <v>40</v>
      </c>
      <c r="E452" t="s">
        <v>15</v>
      </c>
      <c r="F452" t="s">
        <v>16</v>
      </c>
      <c r="G452">
        <v>52831</v>
      </c>
      <c r="H452">
        <v>3</v>
      </c>
      <c r="I452" s="1">
        <v>43486</v>
      </c>
      <c r="J452">
        <v>5</v>
      </c>
      <c r="K452" t="s">
        <v>17</v>
      </c>
      <c r="L452" t="s">
        <v>50</v>
      </c>
      <c r="M452" t="str">
        <f>IF(Table3[[#This Row],[Age]]&lt;30,"Young",IF(Table3[[#This Row],[Age]]&lt;=40,"Mid","Senior"))</f>
        <v>Mid</v>
      </c>
      <c r="N452" t="str">
        <f>IF(Table3[[#This Row],[Experience]]&lt;3,"Junior",IF(Table3[[#This Row],[Experience]]&lt;=7,"Mid","Senior"))</f>
        <v>Mid</v>
      </c>
      <c r="O452">
        <f>YEAR(Table3[[#This Row],[Joining_Date]])</f>
        <v>2019</v>
      </c>
      <c r="P452" t="str">
        <f>IF(AND(Table3[[#This Row],[Performance]]&lt;=2,Table3[[#This Row],[Attrition]]="No"),"High Risk","Stable")</f>
        <v>Stable</v>
      </c>
    </row>
    <row r="453" spans="1:16" x14ac:dyDescent="0.25">
      <c r="A453" t="s">
        <v>514</v>
      </c>
      <c r="B453" t="s">
        <v>58</v>
      </c>
      <c r="C453" t="s">
        <v>14</v>
      </c>
      <c r="D453">
        <v>41</v>
      </c>
      <c r="E453" t="s">
        <v>24</v>
      </c>
      <c r="F453" t="s">
        <v>46</v>
      </c>
      <c r="G453">
        <v>67995</v>
      </c>
      <c r="H453">
        <v>10</v>
      </c>
      <c r="I453" s="1">
        <v>42758</v>
      </c>
      <c r="J453">
        <v>4</v>
      </c>
      <c r="K453" t="s">
        <v>17</v>
      </c>
      <c r="L453" t="s">
        <v>18</v>
      </c>
      <c r="M453" t="str">
        <f>IF(Table3[[#This Row],[Age]]&lt;30,"Young",IF(Table3[[#This Row],[Age]]&lt;=40,"Mid","Senior"))</f>
        <v>Senior</v>
      </c>
      <c r="N453" t="str">
        <f>IF(Table3[[#This Row],[Experience]]&lt;3,"Junior",IF(Table3[[#This Row],[Experience]]&lt;=7,"Mid","Senior"))</f>
        <v>Senior</v>
      </c>
      <c r="O453">
        <f>YEAR(Table3[[#This Row],[Joining_Date]])</f>
        <v>2017</v>
      </c>
      <c r="P453" t="str">
        <f>IF(AND(Table3[[#This Row],[Performance]]&lt;=2,Table3[[#This Row],[Attrition]]="No"),"High Risk","Stable")</f>
        <v>Stable</v>
      </c>
    </row>
    <row r="454" spans="1:16" x14ac:dyDescent="0.25">
      <c r="A454" t="s">
        <v>515</v>
      </c>
      <c r="B454" t="s">
        <v>33</v>
      </c>
      <c r="C454" t="s">
        <v>14</v>
      </c>
      <c r="D454">
        <v>36</v>
      </c>
      <c r="E454" t="s">
        <v>24</v>
      </c>
      <c r="F454" t="s">
        <v>124</v>
      </c>
      <c r="G454">
        <v>58861</v>
      </c>
      <c r="H454">
        <v>5</v>
      </c>
      <c r="I454" s="1">
        <v>42542</v>
      </c>
      <c r="J454">
        <v>5</v>
      </c>
      <c r="K454" t="s">
        <v>17</v>
      </c>
      <c r="L454" t="s">
        <v>31</v>
      </c>
      <c r="M454" t="str">
        <f>IF(Table3[[#This Row],[Age]]&lt;30,"Young",IF(Table3[[#This Row],[Age]]&lt;=40,"Mid","Senior"))</f>
        <v>Mid</v>
      </c>
      <c r="N454" t="str">
        <f>IF(Table3[[#This Row],[Experience]]&lt;3,"Junior",IF(Table3[[#This Row],[Experience]]&lt;=7,"Mid","Senior"))</f>
        <v>Mid</v>
      </c>
      <c r="O454">
        <f>YEAR(Table3[[#This Row],[Joining_Date]])</f>
        <v>2016</v>
      </c>
      <c r="P454" t="str">
        <f>IF(AND(Table3[[#This Row],[Performance]]&lt;=2,Table3[[#This Row],[Attrition]]="No"),"High Risk","Stable")</f>
        <v>Stable</v>
      </c>
    </row>
    <row r="455" spans="1:16" x14ac:dyDescent="0.25">
      <c r="A455" t="s">
        <v>516</v>
      </c>
      <c r="B455" t="s">
        <v>45</v>
      </c>
      <c r="C455" t="s">
        <v>14</v>
      </c>
      <c r="D455">
        <v>28</v>
      </c>
      <c r="E455" t="s">
        <v>24</v>
      </c>
      <c r="F455" t="s">
        <v>46</v>
      </c>
      <c r="G455">
        <v>59100</v>
      </c>
      <c r="H455">
        <v>4</v>
      </c>
      <c r="I455" s="1">
        <v>42617</v>
      </c>
      <c r="J455">
        <v>4</v>
      </c>
      <c r="K455" t="s">
        <v>17</v>
      </c>
      <c r="L455" t="s">
        <v>50</v>
      </c>
      <c r="M455" t="str">
        <f>IF(Table3[[#This Row],[Age]]&lt;30,"Young",IF(Table3[[#This Row],[Age]]&lt;=40,"Mid","Senior"))</f>
        <v>Young</v>
      </c>
      <c r="N455" t="str">
        <f>IF(Table3[[#This Row],[Experience]]&lt;3,"Junior",IF(Table3[[#This Row],[Experience]]&lt;=7,"Mid","Senior"))</f>
        <v>Mid</v>
      </c>
      <c r="O455">
        <f>YEAR(Table3[[#This Row],[Joining_Date]])</f>
        <v>2016</v>
      </c>
      <c r="P455" t="str">
        <f>IF(AND(Table3[[#This Row],[Performance]]&lt;=2,Table3[[#This Row],[Attrition]]="No"),"High Risk","Stable")</f>
        <v>Stable</v>
      </c>
    </row>
    <row r="456" spans="1:16" x14ac:dyDescent="0.25">
      <c r="A456" t="s">
        <v>517</v>
      </c>
      <c r="B456" t="s">
        <v>199</v>
      </c>
      <c r="C456" t="s">
        <v>21</v>
      </c>
      <c r="D456">
        <v>39</v>
      </c>
      <c r="E456" t="s">
        <v>67</v>
      </c>
      <c r="F456" t="s">
        <v>110</v>
      </c>
      <c r="G456">
        <v>72866</v>
      </c>
      <c r="H456">
        <v>10</v>
      </c>
      <c r="I456" s="1">
        <v>43998</v>
      </c>
      <c r="J456">
        <v>3</v>
      </c>
      <c r="K456" t="s">
        <v>17</v>
      </c>
      <c r="L456" t="s">
        <v>43</v>
      </c>
      <c r="M456" t="str">
        <f>IF(Table3[[#This Row],[Age]]&lt;30,"Young",IF(Table3[[#This Row],[Age]]&lt;=40,"Mid","Senior"))</f>
        <v>Mid</v>
      </c>
      <c r="N456" t="str">
        <f>IF(Table3[[#This Row],[Experience]]&lt;3,"Junior",IF(Table3[[#This Row],[Experience]]&lt;=7,"Mid","Senior"))</f>
        <v>Senior</v>
      </c>
      <c r="O456">
        <f>YEAR(Table3[[#This Row],[Joining_Date]])</f>
        <v>2020</v>
      </c>
      <c r="P456" t="str">
        <f>IF(AND(Table3[[#This Row],[Performance]]&lt;=2,Table3[[#This Row],[Attrition]]="No"),"High Risk","Stable")</f>
        <v>Stable</v>
      </c>
    </row>
    <row r="457" spans="1:16" x14ac:dyDescent="0.25">
      <c r="A457" t="s">
        <v>518</v>
      </c>
      <c r="B457" t="s">
        <v>91</v>
      </c>
      <c r="C457" t="s">
        <v>21</v>
      </c>
      <c r="D457">
        <v>23</v>
      </c>
      <c r="E457" t="s">
        <v>15</v>
      </c>
      <c r="F457" t="s">
        <v>71</v>
      </c>
      <c r="G457">
        <v>49166</v>
      </c>
      <c r="H457">
        <v>2</v>
      </c>
      <c r="I457" s="1">
        <v>43956</v>
      </c>
      <c r="J457">
        <v>1</v>
      </c>
      <c r="K457" t="s">
        <v>42</v>
      </c>
      <c r="L457" t="s">
        <v>36</v>
      </c>
      <c r="M457" t="str">
        <f>IF(Table3[[#This Row],[Age]]&lt;30,"Young",IF(Table3[[#This Row],[Age]]&lt;=40,"Mid","Senior"))</f>
        <v>Young</v>
      </c>
      <c r="N457" t="str">
        <f>IF(Table3[[#This Row],[Experience]]&lt;3,"Junior",IF(Table3[[#This Row],[Experience]]&lt;=7,"Mid","Senior"))</f>
        <v>Junior</v>
      </c>
      <c r="O457">
        <f>YEAR(Table3[[#This Row],[Joining_Date]])</f>
        <v>2020</v>
      </c>
      <c r="P457" t="str">
        <f>IF(AND(Table3[[#This Row],[Performance]]&lt;=2,Table3[[#This Row],[Attrition]]="No"),"High Risk","Stable")</f>
        <v>Stable</v>
      </c>
    </row>
    <row r="458" spans="1:16" x14ac:dyDescent="0.25">
      <c r="A458" t="s">
        <v>519</v>
      </c>
      <c r="B458" t="s">
        <v>38</v>
      </c>
      <c r="C458" t="s">
        <v>14</v>
      </c>
      <c r="D458">
        <v>39</v>
      </c>
      <c r="E458" t="s">
        <v>24</v>
      </c>
      <c r="F458" t="s">
        <v>124</v>
      </c>
      <c r="G458">
        <v>62638</v>
      </c>
      <c r="H458">
        <v>8</v>
      </c>
      <c r="I458" s="1">
        <v>42086</v>
      </c>
      <c r="J458">
        <v>4</v>
      </c>
      <c r="K458" t="s">
        <v>17</v>
      </c>
      <c r="L458" t="s">
        <v>39</v>
      </c>
      <c r="M458" t="str">
        <f>IF(Table3[[#This Row],[Age]]&lt;30,"Young",IF(Table3[[#This Row],[Age]]&lt;=40,"Mid","Senior"))</f>
        <v>Mid</v>
      </c>
      <c r="N458" t="str">
        <f>IF(Table3[[#This Row],[Experience]]&lt;3,"Junior",IF(Table3[[#This Row],[Experience]]&lt;=7,"Mid","Senior"))</f>
        <v>Senior</v>
      </c>
      <c r="O458">
        <f>YEAR(Table3[[#This Row],[Joining_Date]])</f>
        <v>2015</v>
      </c>
      <c r="P458" t="str">
        <f>IF(AND(Table3[[#This Row],[Performance]]&lt;=2,Table3[[#This Row],[Attrition]]="No"),"High Risk","Stable")</f>
        <v>Stable</v>
      </c>
    </row>
    <row r="459" spans="1:16" x14ac:dyDescent="0.25">
      <c r="A459" t="s">
        <v>520</v>
      </c>
      <c r="B459" t="s">
        <v>48</v>
      </c>
      <c r="C459" t="s">
        <v>14</v>
      </c>
      <c r="D459">
        <v>32</v>
      </c>
      <c r="E459" t="s">
        <v>34</v>
      </c>
      <c r="F459" t="s">
        <v>74</v>
      </c>
      <c r="G459">
        <v>73193</v>
      </c>
      <c r="H459">
        <v>11</v>
      </c>
      <c r="I459" s="1">
        <v>45021</v>
      </c>
      <c r="J459">
        <v>4</v>
      </c>
      <c r="K459" t="s">
        <v>17</v>
      </c>
      <c r="L459" t="s">
        <v>18</v>
      </c>
      <c r="M459" t="str">
        <f>IF(Table3[[#This Row],[Age]]&lt;30,"Young",IF(Table3[[#This Row],[Age]]&lt;=40,"Mid","Senior"))</f>
        <v>Mid</v>
      </c>
      <c r="N459" t="str">
        <f>IF(Table3[[#This Row],[Experience]]&lt;3,"Junior",IF(Table3[[#This Row],[Experience]]&lt;=7,"Mid","Senior"))</f>
        <v>Senior</v>
      </c>
      <c r="O459">
        <f>YEAR(Table3[[#This Row],[Joining_Date]])</f>
        <v>2023</v>
      </c>
      <c r="P459" t="str">
        <f>IF(AND(Table3[[#This Row],[Performance]]&lt;=2,Table3[[#This Row],[Attrition]]="No"),"High Risk","Stable")</f>
        <v>Stable</v>
      </c>
    </row>
    <row r="460" spans="1:16" x14ac:dyDescent="0.25">
      <c r="A460" t="s">
        <v>521</v>
      </c>
      <c r="B460" t="s">
        <v>91</v>
      </c>
      <c r="C460" t="s">
        <v>21</v>
      </c>
      <c r="D460">
        <v>42</v>
      </c>
      <c r="E460" t="s">
        <v>24</v>
      </c>
      <c r="F460" t="s">
        <v>49</v>
      </c>
      <c r="G460">
        <v>68911</v>
      </c>
      <c r="H460">
        <v>10</v>
      </c>
      <c r="I460" s="1">
        <v>44590</v>
      </c>
      <c r="J460">
        <v>5</v>
      </c>
      <c r="K460" t="s">
        <v>17</v>
      </c>
      <c r="L460" t="s">
        <v>31</v>
      </c>
      <c r="M460" t="str">
        <f>IF(Table3[[#This Row],[Age]]&lt;30,"Young",IF(Table3[[#This Row],[Age]]&lt;=40,"Mid","Senior"))</f>
        <v>Senior</v>
      </c>
      <c r="N460" t="str">
        <f>IF(Table3[[#This Row],[Experience]]&lt;3,"Junior",IF(Table3[[#This Row],[Experience]]&lt;=7,"Mid","Senior"))</f>
        <v>Senior</v>
      </c>
      <c r="O460">
        <f>YEAR(Table3[[#This Row],[Joining_Date]])</f>
        <v>2022</v>
      </c>
      <c r="P460" t="str">
        <f>IF(AND(Table3[[#This Row],[Performance]]&lt;=2,Table3[[#This Row],[Attrition]]="No"),"High Risk","Stable")</f>
        <v>Stable</v>
      </c>
    </row>
    <row r="461" spans="1:16" x14ac:dyDescent="0.25">
      <c r="A461" t="s">
        <v>522</v>
      </c>
      <c r="B461" t="s">
        <v>13</v>
      </c>
      <c r="C461" t="s">
        <v>14</v>
      </c>
      <c r="D461">
        <v>32</v>
      </c>
      <c r="E461" t="s">
        <v>15</v>
      </c>
      <c r="F461" t="s">
        <v>80</v>
      </c>
      <c r="G461">
        <v>75698</v>
      </c>
      <c r="H461">
        <v>10</v>
      </c>
      <c r="I461" s="1">
        <v>43198</v>
      </c>
      <c r="J461">
        <v>3</v>
      </c>
      <c r="K461" t="s">
        <v>17</v>
      </c>
      <c r="L461" t="s">
        <v>18</v>
      </c>
      <c r="M461" t="str">
        <f>IF(Table3[[#This Row],[Age]]&lt;30,"Young",IF(Table3[[#This Row],[Age]]&lt;=40,"Mid","Senior"))</f>
        <v>Mid</v>
      </c>
      <c r="N461" t="str">
        <f>IF(Table3[[#This Row],[Experience]]&lt;3,"Junior",IF(Table3[[#This Row],[Experience]]&lt;=7,"Mid","Senior"))</f>
        <v>Senior</v>
      </c>
      <c r="O461">
        <f>YEAR(Table3[[#This Row],[Joining_Date]])</f>
        <v>2018</v>
      </c>
      <c r="P461" t="str">
        <f>IF(AND(Table3[[#This Row],[Performance]]&lt;=2,Table3[[#This Row],[Attrition]]="No"),"High Risk","Stable")</f>
        <v>Stable</v>
      </c>
    </row>
    <row r="462" spans="1:16" x14ac:dyDescent="0.25">
      <c r="A462" t="s">
        <v>523</v>
      </c>
      <c r="B462" t="s">
        <v>66</v>
      </c>
      <c r="C462" t="s">
        <v>14</v>
      </c>
      <c r="D462">
        <v>38</v>
      </c>
      <c r="E462" t="s">
        <v>24</v>
      </c>
      <c r="F462" t="s">
        <v>49</v>
      </c>
      <c r="G462">
        <v>78782</v>
      </c>
      <c r="H462">
        <v>14</v>
      </c>
      <c r="I462" s="1">
        <v>42690</v>
      </c>
      <c r="J462">
        <v>2</v>
      </c>
      <c r="K462" t="s">
        <v>17</v>
      </c>
      <c r="L462" t="s">
        <v>50</v>
      </c>
      <c r="M462" t="str">
        <f>IF(Table3[[#This Row],[Age]]&lt;30,"Young",IF(Table3[[#This Row],[Age]]&lt;=40,"Mid","Senior"))</f>
        <v>Mid</v>
      </c>
      <c r="N462" t="str">
        <f>IF(Table3[[#This Row],[Experience]]&lt;3,"Junior",IF(Table3[[#This Row],[Experience]]&lt;=7,"Mid","Senior"))</f>
        <v>Senior</v>
      </c>
      <c r="O462">
        <f>YEAR(Table3[[#This Row],[Joining_Date]])</f>
        <v>2016</v>
      </c>
      <c r="P462" t="str">
        <f>IF(AND(Table3[[#This Row],[Performance]]&lt;=2,Table3[[#This Row],[Attrition]]="No"),"High Risk","Stable")</f>
        <v>High Risk</v>
      </c>
    </row>
    <row r="463" spans="1:16" x14ac:dyDescent="0.25">
      <c r="A463" t="s">
        <v>524</v>
      </c>
      <c r="B463" t="s">
        <v>91</v>
      </c>
      <c r="C463" t="s">
        <v>21</v>
      </c>
      <c r="D463">
        <v>34</v>
      </c>
      <c r="E463" t="s">
        <v>24</v>
      </c>
      <c r="F463" t="s">
        <v>25</v>
      </c>
      <c r="G463">
        <v>46065</v>
      </c>
      <c r="H463">
        <v>3</v>
      </c>
      <c r="I463" s="1">
        <v>42266</v>
      </c>
      <c r="J463">
        <v>4</v>
      </c>
      <c r="K463" t="s">
        <v>17</v>
      </c>
      <c r="L463" t="s">
        <v>31</v>
      </c>
      <c r="M463" t="str">
        <f>IF(Table3[[#This Row],[Age]]&lt;30,"Young",IF(Table3[[#This Row],[Age]]&lt;=40,"Mid","Senior"))</f>
        <v>Mid</v>
      </c>
      <c r="N463" t="str">
        <f>IF(Table3[[#This Row],[Experience]]&lt;3,"Junior",IF(Table3[[#This Row],[Experience]]&lt;=7,"Mid","Senior"))</f>
        <v>Mid</v>
      </c>
      <c r="O463">
        <f>YEAR(Table3[[#This Row],[Joining_Date]])</f>
        <v>2015</v>
      </c>
      <c r="P463" t="str">
        <f>IF(AND(Table3[[#This Row],[Performance]]&lt;=2,Table3[[#This Row],[Attrition]]="No"),"High Risk","Stable")</f>
        <v>Stable</v>
      </c>
    </row>
    <row r="464" spans="1:16" x14ac:dyDescent="0.25">
      <c r="A464" t="s">
        <v>525</v>
      </c>
      <c r="B464" t="s">
        <v>33</v>
      </c>
      <c r="C464" t="s">
        <v>21</v>
      </c>
      <c r="D464">
        <v>41</v>
      </c>
      <c r="E464" t="s">
        <v>67</v>
      </c>
      <c r="F464" t="s">
        <v>97</v>
      </c>
      <c r="G464">
        <v>46381</v>
      </c>
      <c r="H464">
        <v>4</v>
      </c>
      <c r="I464" s="1">
        <v>44687</v>
      </c>
      <c r="J464">
        <v>4</v>
      </c>
      <c r="K464" t="s">
        <v>17</v>
      </c>
      <c r="L464" t="s">
        <v>50</v>
      </c>
      <c r="M464" t="str">
        <f>IF(Table3[[#This Row],[Age]]&lt;30,"Young",IF(Table3[[#This Row],[Age]]&lt;=40,"Mid","Senior"))</f>
        <v>Senior</v>
      </c>
      <c r="N464" t="str">
        <f>IF(Table3[[#This Row],[Experience]]&lt;3,"Junior",IF(Table3[[#This Row],[Experience]]&lt;=7,"Mid","Senior"))</f>
        <v>Mid</v>
      </c>
      <c r="O464">
        <f>YEAR(Table3[[#This Row],[Joining_Date]])</f>
        <v>2022</v>
      </c>
      <c r="P464" t="str">
        <f>IF(AND(Table3[[#This Row],[Performance]]&lt;=2,Table3[[#This Row],[Attrition]]="No"),"High Risk","Stable")</f>
        <v>Stable</v>
      </c>
    </row>
    <row r="465" spans="1:16" x14ac:dyDescent="0.25">
      <c r="A465" t="s">
        <v>526</v>
      </c>
      <c r="B465" t="s">
        <v>88</v>
      </c>
      <c r="C465" t="s">
        <v>21</v>
      </c>
      <c r="D465">
        <v>38</v>
      </c>
      <c r="E465" t="s">
        <v>24</v>
      </c>
      <c r="F465" t="s">
        <v>49</v>
      </c>
      <c r="G465">
        <v>49968</v>
      </c>
      <c r="H465">
        <v>5</v>
      </c>
      <c r="I465" s="1">
        <v>42148</v>
      </c>
      <c r="J465">
        <v>3</v>
      </c>
      <c r="K465" t="s">
        <v>17</v>
      </c>
      <c r="L465" t="s">
        <v>36</v>
      </c>
      <c r="M465" t="str">
        <f>IF(Table3[[#This Row],[Age]]&lt;30,"Young",IF(Table3[[#This Row],[Age]]&lt;=40,"Mid","Senior"))</f>
        <v>Mid</v>
      </c>
      <c r="N465" t="str">
        <f>IF(Table3[[#This Row],[Experience]]&lt;3,"Junior",IF(Table3[[#This Row],[Experience]]&lt;=7,"Mid","Senior"))</f>
        <v>Mid</v>
      </c>
      <c r="O465">
        <f>YEAR(Table3[[#This Row],[Joining_Date]])</f>
        <v>2015</v>
      </c>
      <c r="P465" t="str">
        <f>IF(AND(Table3[[#This Row],[Performance]]&lt;=2,Table3[[#This Row],[Attrition]]="No"),"High Risk","Stable")</f>
        <v>Stable</v>
      </c>
    </row>
    <row r="466" spans="1:16" x14ac:dyDescent="0.25">
      <c r="A466" t="s">
        <v>527</v>
      </c>
      <c r="B466" t="s">
        <v>38</v>
      </c>
      <c r="C466" t="s">
        <v>14</v>
      </c>
      <c r="D466">
        <v>36</v>
      </c>
      <c r="E466" t="s">
        <v>67</v>
      </c>
      <c r="F466" t="s">
        <v>110</v>
      </c>
      <c r="G466">
        <v>56429</v>
      </c>
      <c r="H466">
        <v>4</v>
      </c>
      <c r="I466" s="1">
        <v>44213</v>
      </c>
      <c r="J466">
        <v>2</v>
      </c>
      <c r="K466" t="s">
        <v>17</v>
      </c>
      <c r="L466" t="s">
        <v>39</v>
      </c>
      <c r="M466" t="str">
        <f>IF(Table3[[#This Row],[Age]]&lt;30,"Young",IF(Table3[[#This Row],[Age]]&lt;=40,"Mid","Senior"))</f>
        <v>Mid</v>
      </c>
      <c r="N466" t="str">
        <f>IF(Table3[[#This Row],[Experience]]&lt;3,"Junior",IF(Table3[[#This Row],[Experience]]&lt;=7,"Mid","Senior"))</f>
        <v>Mid</v>
      </c>
      <c r="O466">
        <f>YEAR(Table3[[#This Row],[Joining_Date]])</f>
        <v>2021</v>
      </c>
      <c r="P466" t="str">
        <f>IF(AND(Table3[[#This Row],[Performance]]&lt;=2,Table3[[#This Row],[Attrition]]="No"),"High Risk","Stable")</f>
        <v>High Risk</v>
      </c>
    </row>
    <row r="467" spans="1:16" x14ac:dyDescent="0.25">
      <c r="A467" t="s">
        <v>528</v>
      </c>
      <c r="B467" t="s">
        <v>58</v>
      </c>
      <c r="C467" t="s">
        <v>14</v>
      </c>
      <c r="D467">
        <v>39</v>
      </c>
      <c r="E467" t="s">
        <v>67</v>
      </c>
      <c r="F467" t="s">
        <v>76</v>
      </c>
      <c r="G467">
        <v>53967</v>
      </c>
      <c r="H467">
        <v>7</v>
      </c>
      <c r="I467" s="1">
        <v>43814</v>
      </c>
      <c r="J467">
        <v>3</v>
      </c>
      <c r="K467" t="s">
        <v>17</v>
      </c>
      <c r="L467" t="s">
        <v>36</v>
      </c>
      <c r="M467" t="str">
        <f>IF(Table3[[#This Row],[Age]]&lt;30,"Young",IF(Table3[[#This Row],[Age]]&lt;=40,"Mid","Senior"))</f>
        <v>Mid</v>
      </c>
      <c r="N467" t="str">
        <f>IF(Table3[[#This Row],[Experience]]&lt;3,"Junior",IF(Table3[[#This Row],[Experience]]&lt;=7,"Mid","Senior"))</f>
        <v>Mid</v>
      </c>
      <c r="O467">
        <f>YEAR(Table3[[#This Row],[Joining_Date]])</f>
        <v>2019</v>
      </c>
      <c r="P467" t="str">
        <f>IF(AND(Table3[[#This Row],[Performance]]&lt;=2,Table3[[#This Row],[Attrition]]="No"),"High Risk","Stable")</f>
        <v>Stable</v>
      </c>
    </row>
    <row r="468" spans="1:16" x14ac:dyDescent="0.25">
      <c r="A468" t="s">
        <v>529</v>
      </c>
      <c r="B468" t="s">
        <v>126</v>
      </c>
      <c r="C468" t="s">
        <v>21</v>
      </c>
      <c r="D468">
        <v>38</v>
      </c>
      <c r="E468" t="s">
        <v>34</v>
      </c>
      <c r="F468" t="s">
        <v>41</v>
      </c>
      <c r="G468">
        <v>48634</v>
      </c>
      <c r="H468">
        <v>4</v>
      </c>
      <c r="I468" s="1">
        <v>43179</v>
      </c>
      <c r="J468">
        <v>4</v>
      </c>
      <c r="K468" t="s">
        <v>17</v>
      </c>
      <c r="L468" t="s">
        <v>39</v>
      </c>
      <c r="M468" t="str">
        <f>IF(Table3[[#This Row],[Age]]&lt;30,"Young",IF(Table3[[#This Row],[Age]]&lt;=40,"Mid","Senior"))</f>
        <v>Mid</v>
      </c>
      <c r="N468" t="str">
        <f>IF(Table3[[#This Row],[Experience]]&lt;3,"Junior",IF(Table3[[#This Row],[Experience]]&lt;=7,"Mid","Senior"))</f>
        <v>Mid</v>
      </c>
      <c r="O468">
        <f>YEAR(Table3[[#This Row],[Joining_Date]])</f>
        <v>2018</v>
      </c>
      <c r="P468" t="str">
        <f>IF(AND(Table3[[#This Row],[Performance]]&lt;=2,Table3[[#This Row],[Attrition]]="No"),"High Risk","Stable")</f>
        <v>Stable</v>
      </c>
    </row>
    <row r="469" spans="1:16" x14ac:dyDescent="0.25">
      <c r="A469" t="s">
        <v>530</v>
      </c>
      <c r="B469" t="s">
        <v>126</v>
      </c>
      <c r="C469" t="s">
        <v>14</v>
      </c>
      <c r="D469">
        <v>35</v>
      </c>
      <c r="E469" t="s">
        <v>67</v>
      </c>
      <c r="F469" t="s">
        <v>110</v>
      </c>
      <c r="G469">
        <v>67281</v>
      </c>
      <c r="H469">
        <v>9</v>
      </c>
      <c r="I469" s="1">
        <v>42952</v>
      </c>
      <c r="J469">
        <v>1</v>
      </c>
      <c r="K469" t="s">
        <v>17</v>
      </c>
      <c r="L469" t="s">
        <v>43</v>
      </c>
      <c r="M469" t="str">
        <f>IF(Table3[[#This Row],[Age]]&lt;30,"Young",IF(Table3[[#This Row],[Age]]&lt;=40,"Mid","Senior"))</f>
        <v>Mid</v>
      </c>
      <c r="N469" t="str">
        <f>IF(Table3[[#This Row],[Experience]]&lt;3,"Junior",IF(Table3[[#This Row],[Experience]]&lt;=7,"Mid","Senior"))</f>
        <v>Senior</v>
      </c>
      <c r="O469">
        <f>YEAR(Table3[[#This Row],[Joining_Date]])</f>
        <v>2017</v>
      </c>
      <c r="P469" t="str">
        <f>IF(AND(Table3[[#This Row],[Performance]]&lt;=2,Table3[[#This Row],[Attrition]]="No"),"High Risk","Stable")</f>
        <v>High Risk</v>
      </c>
    </row>
    <row r="470" spans="1:16" x14ac:dyDescent="0.25">
      <c r="A470" t="s">
        <v>531</v>
      </c>
      <c r="B470" t="s">
        <v>91</v>
      </c>
      <c r="C470" t="s">
        <v>21</v>
      </c>
      <c r="D470">
        <v>44</v>
      </c>
      <c r="E470" t="s">
        <v>67</v>
      </c>
      <c r="F470" t="s">
        <v>110</v>
      </c>
      <c r="G470">
        <v>71199</v>
      </c>
      <c r="H470">
        <v>12</v>
      </c>
      <c r="I470" s="1">
        <v>42908</v>
      </c>
      <c r="J470">
        <v>3</v>
      </c>
      <c r="K470" t="s">
        <v>42</v>
      </c>
      <c r="L470" t="s">
        <v>39</v>
      </c>
      <c r="M470" t="str">
        <f>IF(Table3[[#This Row],[Age]]&lt;30,"Young",IF(Table3[[#This Row],[Age]]&lt;=40,"Mid","Senior"))</f>
        <v>Senior</v>
      </c>
      <c r="N470" t="str">
        <f>IF(Table3[[#This Row],[Experience]]&lt;3,"Junior",IF(Table3[[#This Row],[Experience]]&lt;=7,"Mid","Senior"))</f>
        <v>Senior</v>
      </c>
      <c r="O470">
        <f>YEAR(Table3[[#This Row],[Joining_Date]])</f>
        <v>2017</v>
      </c>
      <c r="P470" t="str">
        <f>IF(AND(Table3[[#This Row],[Performance]]&lt;=2,Table3[[#This Row],[Attrition]]="No"),"High Risk","Stable")</f>
        <v>Stable</v>
      </c>
    </row>
    <row r="471" spans="1:16" x14ac:dyDescent="0.25">
      <c r="A471" t="s">
        <v>532</v>
      </c>
      <c r="B471" t="s">
        <v>38</v>
      </c>
      <c r="C471" t="s">
        <v>14</v>
      </c>
      <c r="D471">
        <v>30</v>
      </c>
      <c r="E471" t="s">
        <v>34</v>
      </c>
      <c r="F471" t="s">
        <v>41</v>
      </c>
      <c r="G471">
        <v>58580</v>
      </c>
      <c r="H471">
        <v>9</v>
      </c>
      <c r="I471" s="1">
        <v>45500</v>
      </c>
      <c r="J471">
        <v>1</v>
      </c>
      <c r="K471" t="s">
        <v>42</v>
      </c>
      <c r="L471" t="s">
        <v>36</v>
      </c>
      <c r="M471" t="str">
        <f>IF(Table3[[#This Row],[Age]]&lt;30,"Young",IF(Table3[[#This Row],[Age]]&lt;=40,"Mid","Senior"))</f>
        <v>Mid</v>
      </c>
      <c r="N471" t="str">
        <f>IF(Table3[[#This Row],[Experience]]&lt;3,"Junior",IF(Table3[[#This Row],[Experience]]&lt;=7,"Mid","Senior"))</f>
        <v>Senior</v>
      </c>
      <c r="O471">
        <f>YEAR(Table3[[#This Row],[Joining_Date]])</f>
        <v>2024</v>
      </c>
      <c r="P471" t="str">
        <f>IF(AND(Table3[[#This Row],[Performance]]&lt;=2,Table3[[#This Row],[Attrition]]="No"),"High Risk","Stable")</f>
        <v>Stable</v>
      </c>
    </row>
    <row r="472" spans="1:16" x14ac:dyDescent="0.25">
      <c r="A472" t="s">
        <v>533</v>
      </c>
      <c r="B472" t="s">
        <v>33</v>
      </c>
      <c r="C472" t="s">
        <v>14</v>
      </c>
      <c r="D472">
        <v>44</v>
      </c>
      <c r="E472" t="s">
        <v>15</v>
      </c>
      <c r="F472" t="s">
        <v>71</v>
      </c>
      <c r="G472">
        <v>80576</v>
      </c>
      <c r="H472">
        <v>15</v>
      </c>
      <c r="I472" s="1">
        <v>43318</v>
      </c>
      <c r="J472">
        <v>1</v>
      </c>
      <c r="K472" t="s">
        <v>42</v>
      </c>
      <c r="L472" t="s">
        <v>43</v>
      </c>
      <c r="M472" t="str">
        <f>IF(Table3[[#This Row],[Age]]&lt;30,"Young",IF(Table3[[#This Row],[Age]]&lt;=40,"Mid","Senior"))</f>
        <v>Senior</v>
      </c>
      <c r="N472" t="str">
        <f>IF(Table3[[#This Row],[Experience]]&lt;3,"Junior",IF(Table3[[#This Row],[Experience]]&lt;=7,"Mid","Senior"))</f>
        <v>Senior</v>
      </c>
      <c r="O472">
        <f>YEAR(Table3[[#This Row],[Joining_Date]])</f>
        <v>2018</v>
      </c>
      <c r="P472" t="str">
        <f>IF(AND(Table3[[#This Row],[Performance]]&lt;=2,Table3[[#This Row],[Attrition]]="No"),"High Risk","Stable")</f>
        <v>Stable</v>
      </c>
    </row>
    <row r="473" spans="1:16" x14ac:dyDescent="0.25">
      <c r="A473" t="s">
        <v>534</v>
      </c>
      <c r="B473" t="s">
        <v>56</v>
      </c>
      <c r="C473" t="s">
        <v>21</v>
      </c>
      <c r="D473">
        <v>30</v>
      </c>
      <c r="E473" t="s">
        <v>15</v>
      </c>
      <c r="F473" t="s">
        <v>80</v>
      </c>
      <c r="G473">
        <v>61717</v>
      </c>
      <c r="H473">
        <v>4</v>
      </c>
      <c r="I473" s="1">
        <v>43800</v>
      </c>
      <c r="J473">
        <v>1</v>
      </c>
      <c r="K473" t="s">
        <v>42</v>
      </c>
      <c r="L473" t="s">
        <v>50</v>
      </c>
      <c r="M473" t="str">
        <f>IF(Table3[[#This Row],[Age]]&lt;30,"Young",IF(Table3[[#This Row],[Age]]&lt;=40,"Mid","Senior"))</f>
        <v>Mid</v>
      </c>
      <c r="N473" t="str">
        <f>IF(Table3[[#This Row],[Experience]]&lt;3,"Junior",IF(Table3[[#This Row],[Experience]]&lt;=7,"Mid","Senior"))</f>
        <v>Mid</v>
      </c>
      <c r="O473">
        <f>YEAR(Table3[[#This Row],[Joining_Date]])</f>
        <v>2019</v>
      </c>
      <c r="P473" t="str">
        <f>IF(AND(Table3[[#This Row],[Performance]]&lt;=2,Table3[[#This Row],[Attrition]]="No"),"High Risk","Stable")</f>
        <v>Stable</v>
      </c>
    </row>
    <row r="474" spans="1:16" x14ac:dyDescent="0.25">
      <c r="A474" t="s">
        <v>535</v>
      </c>
      <c r="B474" t="s">
        <v>54</v>
      </c>
      <c r="C474" t="s">
        <v>21</v>
      </c>
      <c r="D474">
        <v>35</v>
      </c>
      <c r="E474" t="s">
        <v>15</v>
      </c>
      <c r="F474" t="s">
        <v>71</v>
      </c>
      <c r="G474">
        <v>75373</v>
      </c>
      <c r="H474">
        <v>9</v>
      </c>
      <c r="I474" s="1">
        <v>45279</v>
      </c>
      <c r="J474">
        <v>4</v>
      </c>
      <c r="K474" t="s">
        <v>17</v>
      </c>
      <c r="L474" t="s">
        <v>18</v>
      </c>
      <c r="M474" t="str">
        <f>IF(Table3[[#This Row],[Age]]&lt;30,"Young",IF(Table3[[#This Row],[Age]]&lt;=40,"Mid","Senior"))</f>
        <v>Mid</v>
      </c>
      <c r="N474" t="str">
        <f>IF(Table3[[#This Row],[Experience]]&lt;3,"Junior",IF(Table3[[#This Row],[Experience]]&lt;=7,"Mid","Senior"))</f>
        <v>Senior</v>
      </c>
      <c r="O474">
        <f>YEAR(Table3[[#This Row],[Joining_Date]])</f>
        <v>2023</v>
      </c>
      <c r="P474" t="str">
        <f>IF(AND(Table3[[#This Row],[Performance]]&lt;=2,Table3[[#This Row],[Attrition]]="No"),"High Risk","Stable")</f>
        <v>Stable</v>
      </c>
    </row>
    <row r="475" spans="1:16" x14ac:dyDescent="0.25">
      <c r="A475" t="s">
        <v>536</v>
      </c>
      <c r="B475" t="s">
        <v>88</v>
      </c>
      <c r="C475" t="s">
        <v>21</v>
      </c>
      <c r="D475">
        <v>23</v>
      </c>
      <c r="E475" t="s">
        <v>15</v>
      </c>
      <c r="F475" t="s">
        <v>28</v>
      </c>
      <c r="G475">
        <v>57708</v>
      </c>
      <c r="H475">
        <v>2</v>
      </c>
      <c r="I475" s="1">
        <v>43612</v>
      </c>
      <c r="J475">
        <v>1</v>
      </c>
      <c r="K475" t="s">
        <v>17</v>
      </c>
      <c r="L475" t="s">
        <v>36</v>
      </c>
      <c r="M475" t="str">
        <f>IF(Table3[[#This Row],[Age]]&lt;30,"Young",IF(Table3[[#This Row],[Age]]&lt;=40,"Mid","Senior"))</f>
        <v>Young</v>
      </c>
      <c r="N475" t="str">
        <f>IF(Table3[[#This Row],[Experience]]&lt;3,"Junior",IF(Table3[[#This Row],[Experience]]&lt;=7,"Mid","Senior"))</f>
        <v>Junior</v>
      </c>
      <c r="O475">
        <f>YEAR(Table3[[#This Row],[Joining_Date]])</f>
        <v>2019</v>
      </c>
      <c r="P475" t="str">
        <f>IF(AND(Table3[[#This Row],[Performance]]&lt;=2,Table3[[#This Row],[Attrition]]="No"),"High Risk","Stable")</f>
        <v>High Risk</v>
      </c>
    </row>
    <row r="476" spans="1:16" x14ac:dyDescent="0.25">
      <c r="A476" t="s">
        <v>537</v>
      </c>
      <c r="B476" t="s">
        <v>13</v>
      </c>
      <c r="C476" t="s">
        <v>21</v>
      </c>
      <c r="D476">
        <v>34</v>
      </c>
      <c r="E476" t="s">
        <v>67</v>
      </c>
      <c r="F476" t="s">
        <v>97</v>
      </c>
      <c r="G476">
        <v>71549</v>
      </c>
      <c r="H476">
        <v>13</v>
      </c>
      <c r="I476" s="1">
        <v>45026</v>
      </c>
      <c r="J476">
        <v>1</v>
      </c>
      <c r="K476" t="s">
        <v>42</v>
      </c>
      <c r="L476" t="s">
        <v>39</v>
      </c>
      <c r="M476" t="str">
        <f>IF(Table3[[#This Row],[Age]]&lt;30,"Young",IF(Table3[[#This Row],[Age]]&lt;=40,"Mid","Senior"))</f>
        <v>Mid</v>
      </c>
      <c r="N476" t="str">
        <f>IF(Table3[[#This Row],[Experience]]&lt;3,"Junior",IF(Table3[[#This Row],[Experience]]&lt;=7,"Mid","Senior"))</f>
        <v>Senior</v>
      </c>
      <c r="O476">
        <f>YEAR(Table3[[#This Row],[Joining_Date]])</f>
        <v>2023</v>
      </c>
      <c r="P476" t="str">
        <f>IF(AND(Table3[[#This Row],[Performance]]&lt;=2,Table3[[#This Row],[Attrition]]="No"),"High Risk","Stable")</f>
        <v>Stable</v>
      </c>
    </row>
    <row r="477" spans="1:16" x14ac:dyDescent="0.25">
      <c r="A477" t="s">
        <v>538</v>
      </c>
      <c r="B477" t="s">
        <v>58</v>
      </c>
      <c r="C477" t="s">
        <v>21</v>
      </c>
      <c r="D477">
        <v>34</v>
      </c>
      <c r="E477" t="s">
        <v>15</v>
      </c>
      <c r="F477" t="s">
        <v>30</v>
      </c>
      <c r="G477">
        <v>67793</v>
      </c>
      <c r="H477">
        <v>9</v>
      </c>
      <c r="I477" s="1">
        <v>42654</v>
      </c>
      <c r="J477">
        <v>1</v>
      </c>
      <c r="K477" t="s">
        <v>17</v>
      </c>
      <c r="L477" t="s">
        <v>31</v>
      </c>
      <c r="M477" t="str">
        <f>IF(Table3[[#This Row],[Age]]&lt;30,"Young",IF(Table3[[#This Row],[Age]]&lt;=40,"Mid","Senior"))</f>
        <v>Mid</v>
      </c>
      <c r="N477" t="str">
        <f>IF(Table3[[#This Row],[Experience]]&lt;3,"Junior",IF(Table3[[#This Row],[Experience]]&lt;=7,"Mid","Senior"))</f>
        <v>Senior</v>
      </c>
      <c r="O477">
        <f>YEAR(Table3[[#This Row],[Joining_Date]])</f>
        <v>2016</v>
      </c>
      <c r="P477" t="str">
        <f>IF(AND(Table3[[#This Row],[Performance]]&lt;=2,Table3[[#This Row],[Attrition]]="No"),"High Risk","Stable")</f>
        <v>High Risk</v>
      </c>
    </row>
    <row r="478" spans="1:16" x14ac:dyDescent="0.25">
      <c r="A478" t="s">
        <v>539</v>
      </c>
      <c r="B478" t="s">
        <v>20</v>
      </c>
      <c r="C478" t="s">
        <v>14</v>
      </c>
      <c r="D478">
        <v>33</v>
      </c>
      <c r="E478" t="s">
        <v>24</v>
      </c>
      <c r="F478" t="s">
        <v>49</v>
      </c>
      <c r="G478">
        <v>50423</v>
      </c>
      <c r="H478">
        <v>1</v>
      </c>
      <c r="I478" s="1">
        <v>42897</v>
      </c>
      <c r="J478">
        <v>1</v>
      </c>
      <c r="K478" t="s">
        <v>42</v>
      </c>
      <c r="L478" t="s">
        <v>18</v>
      </c>
      <c r="M478" t="str">
        <f>IF(Table3[[#This Row],[Age]]&lt;30,"Young",IF(Table3[[#This Row],[Age]]&lt;=40,"Mid","Senior"))</f>
        <v>Mid</v>
      </c>
      <c r="N478" t="str">
        <f>IF(Table3[[#This Row],[Experience]]&lt;3,"Junior",IF(Table3[[#This Row],[Experience]]&lt;=7,"Mid","Senior"))</f>
        <v>Junior</v>
      </c>
      <c r="O478">
        <f>YEAR(Table3[[#This Row],[Joining_Date]])</f>
        <v>2017</v>
      </c>
      <c r="P478" t="str">
        <f>IF(AND(Table3[[#This Row],[Performance]]&lt;=2,Table3[[#This Row],[Attrition]]="No"),"High Risk","Stable")</f>
        <v>Stable</v>
      </c>
    </row>
    <row r="479" spans="1:16" x14ac:dyDescent="0.25">
      <c r="A479" t="s">
        <v>540</v>
      </c>
      <c r="B479" t="s">
        <v>33</v>
      </c>
      <c r="C479" t="s">
        <v>21</v>
      </c>
      <c r="D479">
        <v>40</v>
      </c>
      <c r="E479" t="s">
        <v>24</v>
      </c>
      <c r="F479" t="s">
        <v>25</v>
      </c>
      <c r="G479">
        <v>50984</v>
      </c>
      <c r="H479">
        <v>3</v>
      </c>
      <c r="I479" s="1">
        <v>45237</v>
      </c>
      <c r="J479">
        <v>2</v>
      </c>
      <c r="K479" t="s">
        <v>42</v>
      </c>
      <c r="L479" t="s">
        <v>31</v>
      </c>
      <c r="M479" t="str">
        <f>IF(Table3[[#This Row],[Age]]&lt;30,"Young",IF(Table3[[#This Row],[Age]]&lt;=40,"Mid","Senior"))</f>
        <v>Mid</v>
      </c>
      <c r="N479" t="str">
        <f>IF(Table3[[#This Row],[Experience]]&lt;3,"Junior",IF(Table3[[#This Row],[Experience]]&lt;=7,"Mid","Senior"))</f>
        <v>Mid</v>
      </c>
      <c r="O479">
        <f>YEAR(Table3[[#This Row],[Joining_Date]])</f>
        <v>2023</v>
      </c>
      <c r="P479" t="str">
        <f>IF(AND(Table3[[#This Row],[Performance]]&lt;=2,Table3[[#This Row],[Attrition]]="No"),"High Risk","Stable")</f>
        <v>Stable</v>
      </c>
    </row>
    <row r="480" spans="1:16" x14ac:dyDescent="0.25">
      <c r="A480" t="s">
        <v>541</v>
      </c>
      <c r="B480" t="s">
        <v>60</v>
      </c>
      <c r="C480" t="s">
        <v>14</v>
      </c>
      <c r="D480">
        <v>29</v>
      </c>
      <c r="E480" t="s">
        <v>67</v>
      </c>
      <c r="F480" t="s">
        <v>68</v>
      </c>
      <c r="G480">
        <v>55690</v>
      </c>
      <c r="H480">
        <v>5</v>
      </c>
      <c r="I480" s="1">
        <v>42379</v>
      </c>
      <c r="J480">
        <v>5</v>
      </c>
      <c r="K480" t="s">
        <v>17</v>
      </c>
      <c r="L480" t="s">
        <v>39</v>
      </c>
      <c r="M480" t="str">
        <f>IF(Table3[[#This Row],[Age]]&lt;30,"Young",IF(Table3[[#This Row],[Age]]&lt;=40,"Mid","Senior"))</f>
        <v>Young</v>
      </c>
      <c r="N480" t="str">
        <f>IF(Table3[[#This Row],[Experience]]&lt;3,"Junior",IF(Table3[[#This Row],[Experience]]&lt;=7,"Mid","Senior"))</f>
        <v>Mid</v>
      </c>
      <c r="O480">
        <f>YEAR(Table3[[#This Row],[Joining_Date]])</f>
        <v>2016</v>
      </c>
      <c r="P480" t="str">
        <f>IF(AND(Table3[[#This Row],[Performance]]&lt;=2,Table3[[#This Row],[Attrition]]="No"),"High Risk","Stable")</f>
        <v>Stable</v>
      </c>
    </row>
    <row r="481" spans="1:16" x14ac:dyDescent="0.25">
      <c r="A481" t="s">
        <v>542</v>
      </c>
      <c r="B481" t="s">
        <v>88</v>
      </c>
      <c r="C481" t="s">
        <v>14</v>
      </c>
      <c r="D481">
        <v>44</v>
      </c>
      <c r="E481" t="s">
        <v>15</v>
      </c>
      <c r="F481" t="s">
        <v>16</v>
      </c>
      <c r="G481">
        <v>49561</v>
      </c>
      <c r="H481">
        <v>3</v>
      </c>
      <c r="I481" s="1">
        <v>44003</v>
      </c>
      <c r="J481">
        <v>2</v>
      </c>
      <c r="K481" t="s">
        <v>42</v>
      </c>
      <c r="L481" t="s">
        <v>43</v>
      </c>
      <c r="M481" t="str">
        <f>IF(Table3[[#This Row],[Age]]&lt;30,"Young",IF(Table3[[#This Row],[Age]]&lt;=40,"Mid","Senior"))</f>
        <v>Senior</v>
      </c>
      <c r="N481" t="str">
        <f>IF(Table3[[#This Row],[Experience]]&lt;3,"Junior",IF(Table3[[#This Row],[Experience]]&lt;=7,"Mid","Senior"))</f>
        <v>Mid</v>
      </c>
      <c r="O481">
        <f>YEAR(Table3[[#This Row],[Joining_Date]])</f>
        <v>2020</v>
      </c>
      <c r="P481" t="str">
        <f>IF(AND(Table3[[#This Row],[Performance]]&lt;=2,Table3[[#This Row],[Attrition]]="No"),"High Risk","Stable")</f>
        <v>Stable</v>
      </c>
    </row>
    <row r="482" spans="1:16" x14ac:dyDescent="0.25">
      <c r="A482" t="s">
        <v>543</v>
      </c>
      <c r="B482" t="s">
        <v>126</v>
      </c>
      <c r="C482" t="s">
        <v>21</v>
      </c>
      <c r="D482">
        <v>44</v>
      </c>
      <c r="E482" t="s">
        <v>24</v>
      </c>
      <c r="F482" t="s">
        <v>49</v>
      </c>
      <c r="G482">
        <v>72868</v>
      </c>
      <c r="H482">
        <v>12</v>
      </c>
      <c r="I482" s="1">
        <v>44972</v>
      </c>
      <c r="J482">
        <v>2</v>
      </c>
      <c r="K482" t="s">
        <v>42</v>
      </c>
      <c r="L482" t="s">
        <v>31</v>
      </c>
      <c r="M482" t="str">
        <f>IF(Table3[[#This Row],[Age]]&lt;30,"Young",IF(Table3[[#This Row],[Age]]&lt;=40,"Mid","Senior"))</f>
        <v>Senior</v>
      </c>
      <c r="N482" t="str">
        <f>IF(Table3[[#This Row],[Experience]]&lt;3,"Junior",IF(Table3[[#This Row],[Experience]]&lt;=7,"Mid","Senior"))</f>
        <v>Senior</v>
      </c>
      <c r="O482">
        <f>YEAR(Table3[[#This Row],[Joining_Date]])</f>
        <v>2023</v>
      </c>
      <c r="P482" t="str">
        <f>IF(AND(Table3[[#This Row],[Performance]]&lt;=2,Table3[[#This Row],[Attrition]]="No"),"High Risk","Stable")</f>
        <v>Stable</v>
      </c>
    </row>
    <row r="483" spans="1:16" x14ac:dyDescent="0.25">
      <c r="A483" t="s">
        <v>544</v>
      </c>
      <c r="B483" t="s">
        <v>38</v>
      </c>
      <c r="C483" t="s">
        <v>14</v>
      </c>
      <c r="D483">
        <v>44</v>
      </c>
      <c r="E483" t="s">
        <v>67</v>
      </c>
      <c r="F483" t="s">
        <v>110</v>
      </c>
      <c r="G483">
        <v>75609</v>
      </c>
      <c r="H483">
        <v>15</v>
      </c>
      <c r="I483" s="1">
        <v>44326</v>
      </c>
      <c r="J483">
        <v>2</v>
      </c>
      <c r="K483" t="s">
        <v>17</v>
      </c>
      <c r="L483" t="s">
        <v>18</v>
      </c>
      <c r="M483" t="str">
        <f>IF(Table3[[#This Row],[Age]]&lt;30,"Young",IF(Table3[[#This Row],[Age]]&lt;=40,"Mid","Senior"))</f>
        <v>Senior</v>
      </c>
      <c r="N483" t="str">
        <f>IF(Table3[[#This Row],[Experience]]&lt;3,"Junior",IF(Table3[[#This Row],[Experience]]&lt;=7,"Mid","Senior"))</f>
        <v>Senior</v>
      </c>
      <c r="O483">
        <f>YEAR(Table3[[#This Row],[Joining_Date]])</f>
        <v>2021</v>
      </c>
      <c r="P483" t="str">
        <f>IF(AND(Table3[[#This Row],[Performance]]&lt;=2,Table3[[#This Row],[Attrition]]="No"),"High Risk","Stable")</f>
        <v>High Risk</v>
      </c>
    </row>
    <row r="484" spans="1:16" x14ac:dyDescent="0.25">
      <c r="A484" t="s">
        <v>545</v>
      </c>
      <c r="B484" t="s">
        <v>199</v>
      </c>
      <c r="C484" t="s">
        <v>21</v>
      </c>
      <c r="D484">
        <v>26</v>
      </c>
      <c r="E484" t="s">
        <v>24</v>
      </c>
      <c r="F484" t="s">
        <v>46</v>
      </c>
      <c r="G484">
        <v>54344</v>
      </c>
      <c r="H484">
        <v>5</v>
      </c>
      <c r="I484" s="1">
        <v>45361</v>
      </c>
      <c r="J484">
        <v>3</v>
      </c>
      <c r="K484" t="s">
        <v>17</v>
      </c>
      <c r="L484" t="s">
        <v>18</v>
      </c>
      <c r="M484" t="str">
        <f>IF(Table3[[#This Row],[Age]]&lt;30,"Young",IF(Table3[[#This Row],[Age]]&lt;=40,"Mid","Senior"))</f>
        <v>Young</v>
      </c>
      <c r="N484" t="str">
        <f>IF(Table3[[#This Row],[Experience]]&lt;3,"Junior",IF(Table3[[#This Row],[Experience]]&lt;=7,"Mid","Senior"))</f>
        <v>Mid</v>
      </c>
      <c r="O484">
        <f>YEAR(Table3[[#This Row],[Joining_Date]])</f>
        <v>2024</v>
      </c>
      <c r="P484" t="str">
        <f>IF(AND(Table3[[#This Row],[Performance]]&lt;=2,Table3[[#This Row],[Attrition]]="No"),"High Risk","Stable")</f>
        <v>Stable</v>
      </c>
    </row>
    <row r="485" spans="1:16" x14ac:dyDescent="0.25">
      <c r="A485" t="s">
        <v>546</v>
      </c>
      <c r="B485" t="s">
        <v>91</v>
      </c>
      <c r="C485" t="s">
        <v>14</v>
      </c>
      <c r="D485">
        <v>22</v>
      </c>
      <c r="E485" t="s">
        <v>15</v>
      </c>
      <c r="F485" t="s">
        <v>30</v>
      </c>
      <c r="G485">
        <v>55214</v>
      </c>
      <c r="H485">
        <v>1</v>
      </c>
      <c r="I485" s="1">
        <v>44545</v>
      </c>
      <c r="J485">
        <v>2</v>
      </c>
      <c r="K485" t="s">
        <v>42</v>
      </c>
      <c r="L485" t="s">
        <v>31</v>
      </c>
      <c r="M485" t="str">
        <f>IF(Table3[[#This Row],[Age]]&lt;30,"Young",IF(Table3[[#This Row],[Age]]&lt;=40,"Mid","Senior"))</f>
        <v>Young</v>
      </c>
      <c r="N485" t="str">
        <f>IF(Table3[[#This Row],[Experience]]&lt;3,"Junior",IF(Table3[[#This Row],[Experience]]&lt;=7,"Mid","Senior"))</f>
        <v>Junior</v>
      </c>
      <c r="O485">
        <f>YEAR(Table3[[#This Row],[Joining_Date]])</f>
        <v>2021</v>
      </c>
      <c r="P485" t="str">
        <f>IF(AND(Table3[[#This Row],[Performance]]&lt;=2,Table3[[#This Row],[Attrition]]="No"),"High Risk","Stable")</f>
        <v>Stable</v>
      </c>
    </row>
    <row r="486" spans="1:16" x14ac:dyDescent="0.25">
      <c r="A486" t="s">
        <v>547</v>
      </c>
      <c r="B486" t="s">
        <v>38</v>
      </c>
      <c r="C486" t="s">
        <v>14</v>
      </c>
      <c r="D486">
        <v>26</v>
      </c>
      <c r="E486" t="s">
        <v>67</v>
      </c>
      <c r="F486" t="s">
        <v>68</v>
      </c>
      <c r="G486">
        <v>52785</v>
      </c>
      <c r="H486">
        <v>5</v>
      </c>
      <c r="I486" s="1">
        <v>43683</v>
      </c>
      <c r="J486">
        <v>3</v>
      </c>
      <c r="K486" t="s">
        <v>17</v>
      </c>
      <c r="L486" t="s">
        <v>43</v>
      </c>
      <c r="M486" t="str">
        <f>IF(Table3[[#This Row],[Age]]&lt;30,"Young",IF(Table3[[#This Row],[Age]]&lt;=40,"Mid","Senior"))</f>
        <v>Young</v>
      </c>
      <c r="N486" t="str">
        <f>IF(Table3[[#This Row],[Experience]]&lt;3,"Junior",IF(Table3[[#This Row],[Experience]]&lt;=7,"Mid","Senior"))</f>
        <v>Mid</v>
      </c>
      <c r="O486">
        <f>YEAR(Table3[[#This Row],[Joining_Date]])</f>
        <v>2019</v>
      </c>
      <c r="P486" t="str">
        <f>IF(AND(Table3[[#This Row],[Performance]]&lt;=2,Table3[[#This Row],[Attrition]]="No"),"High Risk","Stable")</f>
        <v>Stable</v>
      </c>
    </row>
    <row r="487" spans="1:16" x14ac:dyDescent="0.25">
      <c r="A487" t="s">
        <v>548</v>
      </c>
      <c r="B487" t="s">
        <v>91</v>
      </c>
      <c r="C487" t="s">
        <v>21</v>
      </c>
      <c r="D487">
        <v>23</v>
      </c>
      <c r="E487" t="s">
        <v>15</v>
      </c>
      <c r="F487" t="s">
        <v>16</v>
      </c>
      <c r="G487">
        <v>46753</v>
      </c>
      <c r="H487">
        <v>2</v>
      </c>
      <c r="I487" s="1">
        <v>43993</v>
      </c>
      <c r="J487">
        <v>2</v>
      </c>
      <c r="K487" t="s">
        <v>42</v>
      </c>
      <c r="L487" t="s">
        <v>43</v>
      </c>
      <c r="M487" t="str">
        <f>IF(Table3[[#This Row],[Age]]&lt;30,"Young",IF(Table3[[#This Row],[Age]]&lt;=40,"Mid","Senior"))</f>
        <v>Young</v>
      </c>
      <c r="N487" t="str">
        <f>IF(Table3[[#This Row],[Experience]]&lt;3,"Junior",IF(Table3[[#This Row],[Experience]]&lt;=7,"Mid","Senior"))</f>
        <v>Junior</v>
      </c>
      <c r="O487">
        <f>YEAR(Table3[[#This Row],[Joining_Date]])</f>
        <v>2020</v>
      </c>
      <c r="P487" t="str">
        <f>IF(AND(Table3[[#This Row],[Performance]]&lt;=2,Table3[[#This Row],[Attrition]]="No"),"High Risk","Stable")</f>
        <v>Stable</v>
      </c>
    </row>
    <row r="488" spans="1:16" x14ac:dyDescent="0.25">
      <c r="A488" t="s">
        <v>549</v>
      </c>
      <c r="B488" t="s">
        <v>78</v>
      </c>
      <c r="C488" t="s">
        <v>14</v>
      </c>
      <c r="D488">
        <v>33</v>
      </c>
      <c r="E488" t="s">
        <v>67</v>
      </c>
      <c r="F488" t="s">
        <v>110</v>
      </c>
      <c r="G488">
        <v>62427</v>
      </c>
      <c r="H488">
        <v>7</v>
      </c>
      <c r="I488" s="1">
        <v>44945</v>
      </c>
      <c r="J488">
        <v>1</v>
      </c>
      <c r="K488" t="s">
        <v>42</v>
      </c>
      <c r="L488" t="s">
        <v>50</v>
      </c>
      <c r="M488" t="str">
        <f>IF(Table3[[#This Row],[Age]]&lt;30,"Young",IF(Table3[[#This Row],[Age]]&lt;=40,"Mid","Senior"))</f>
        <v>Mid</v>
      </c>
      <c r="N488" t="str">
        <f>IF(Table3[[#This Row],[Experience]]&lt;3,"Junior",IF(Table3[[#This Row],[Experience]]&lt;=7,"Mid","Senior"))</f>
        <v>Mid</v>
      </c>
      <c r="O488">
        <f>YEAR(Table3[[#This Row],[Joining_Date]])</f>
        <v>2023</v>
      </c>
      <c r="P488" t="str">
        <f>IF(AND(Table3[[#This Row],[Performance]]&lt;=2,Table3[[#This Row],[Attrition]]="No"),"High Risk","Stable")</f>
        <v>Stable</v>
      </c>
    </row>
    <row r="489" spans="1:16" x14ac:dyDescent="0.25">
      <c r="A489" t="s">
        <v>550</v>
      </c>
      <c r="B489" t="s">
        <v>78</v>
      </c>
      <c r="C489" t="s">
        <v>14</v>
      </c>
      <c r="D489">
        <v>33</v>
      </c>
      <c r="E489" t="s">
        <v>67</v>
      </c>
      <c r="F489" t="s">
        <v>97</v>
      </c>
      <c r="G489">
        <v>71046</v>
      </c>
      <c r="H489">
        <v>12</v>
      </c>
      <c r="I489" s="1">
        <v>45258</v>
      </c>
      <c r="J489">
        <v>1</v>
      </c>
      <c r="K489" t="s">
        <v>17</v>
      </c>
      <c r="L489" t="s">
        <v>31</v>
      </c>
      <c r="M489" t="str">
        <f>IF(Table3[[#This Row],[Age]]&lt;30,"Young",IF(Table3[[#This Row],[Age]]&lt;=40,"Mid","Senior"))</f>
        <v>Mid</v>
      </c>
      <c r="N489" t="str">
        <f>IF(Table3[[#This Row],[Experience]]&lt;3,"Junior",IF(Table3[[#This Row],[Experience]]&lt;=7,"Mid","Senior"))</f>
        <v>Senior</v>
      </c>
      <c r="O489">
        <f>YEAR(Table3[[#This Row],[Joining_Date]])</f>
        <v>2023</v>
      </c>
      <c r="P489" t="str">
        <f>IF(AND(Table3[[#This Row],[Performance]]&lt;=2,Table3[[#This Row],[Attrition]]="No"),"High Risk","Stable")</f>
        <v>High Risk</v>
      </c>
    </row>
    <row r="490" spans="1:16" x14ac:dyDescent="0.25">
      <c r="A490" t="s">
        <v>551</v>
      </c>
      <c r="B490" t="s">
        <v>20</v>
      </c>
      <c r="C490" t="s">
        <v>21</v>
      </c>
      <c r="D490">
        <v>38</v>
      </c>
      <c r="E490" t="s">
        <v>15</v>
      </c>
      <c r="F490" t="s">
        <v>28</v>
      </c>
      <c r="G490">
        <v>49158</v>
      </c>
      <c r="H490">
        <v>3</v>
      </c>
      <c r="I490" s="1">
        <v>44975</v>
      </c>
      <c r="J490">
        <v>2</v>
      </c>
      <c r="K490" t="s">
        <v>17</v>
      </c>
      <c r="L490" t="s">
        <v>43</v>
      </c>
      <c r="M490" t="str">
        <f>IF(Table3[[#This Row],[Age]]&lt;30,"Young",IF(Table3[[#This Row],[Age]]&lt;=40,"Mid","Senior"))</f>
        <v>Mid</v>
      </c>
      <c r="N490" t="str">
        <f>IF(Table3[[#This Row],[Experience]]&lt;3,"Junior",IF(Table3[[#This Row],[Experience]]&lt;=7,"Mid","Senior"))</f>
        <v>Mid</v>
      </c>
      <c r="O490">
        <f>YEAR(Table3[[#This Row],[Joining_Date]])</f>
        <v>2023</v>
      </c>
      <c r="P490" t="str">
        <f>IF(AND(Table3[[#This Row],[Performance]]&lt;=2,Table3[[#This Row],[Attrition]]="No"),"High Risk","Stable")</f>
        <v>High Risk</v>
      </c>
    </row>
    <row r="491" spans="1:16" x14ac:dyDescent="0.25">
      <c r="A491" t="s">
        <v>552</v>
      </c>
      <c r="B491" t="s">
        <v>63</v>
      </c>
      <c r="C491" t="s">
        <v>14</v>
      </c>
      <c r="D491">
        <v>42</v>
      </c>
      <c r="E491" t="s">
        <v>34</v>
      </c>
      <c r="F491" t="s">
        <v>74</v>
      </c>
      <c r="G491">
        <v>71550</v>
      </c>
      <c r="H491">
        <v>11</v>
      </c>
      <c r="I491" s="1">
        <v>43883</v>
      </c>
      <c r="J491">
        <v>4</v>
      </c>
      <c r="K491" t="s">
        <v>17</v>
      </c>
      <c r="L491" t="s">
        <v>50</v>
      </c>
      <c r="M491" t="str">
        <f>IF(Table3[[#This Row],[Age]]&lt;30,"Young",IF(Table3[[#This Row],[Age]]&lt;=40,"Mid","Senior"))</f>
        <v>Senior</v>
      </c>
      <c r="N491" t="str">
        <f>IF(Table3[[#This Row],[Experience]]&lt;3,"Junior",IF(Table3[[#This Row],[Experience]]&lt;=7,"Mid","Senior"))</f>
        <v>Senior</v>
      </c>
      <c r="O491">
        <f>YEAR(Table3[[#This Row],[Joining_Date]])</f>
        <v>2020</v>
      </c>
      <c r="P491" t="str">
        <f>IF(AND(Table3[[#This Row],[Performance]]&lt;=2,Table3[[#This Row],[Attrition]]="No"),"High Risk","Stable")</f>
        <v>Stable</v>
      </c>
    </row>
    <row r="492" spans="1:16" x14ac:dyDescent="0.25">
      <c r="A492" t="s">
        <v>553</v>
      </c>
      <c r="B492" t="s">
        <v>91</v>
      </c>
      <c r="C492" t="s">
        <v>14</v>
      </c>
      <c r="D492">
        <v>39</v>
      </c>
      <c r="E492" t="s">
        <v>34</v>
      </c>
      <c r="F492" t="s">
        <v>52</v>
      </c>
      <c r="G492">
        <v>73772</v>
      </c>
      <c r="H492">
        <v>14</v>
      </c>
      <c r="I492" s="1">
        <v>45701</v>
      </c>
      <c r="J492">
        <v>3</v>
      </c>
      <c r="K492" t="s">
        <v>17</v>
      </c>
      <c r="L492" t="s">
        <v>36</v>
      </c>
      <c r="M492" t="str">
        <f>IF(Table3[[#This Row],[Age]]&lt;30,"Young",IF(Table3[[#This Row],[Age]]&lt;=40,"Mid","Senior"))</f>
        <v>Mid</v>
      </c>
      <c r="N492" t="str">
        <f>IF(Table3[[#This Row],[Experience]]&lt;3,"Junior",IF(Table3[[#This Row],[Experience]]&lt;=7,"Mid","Senior"))</f>
        <v>Senior</v>
      </c>
      <c r="O492">
        <f>YEAR(Table3[[#This Row],[Joining_Date]])</f>
        <v>2025</v>
      </c>
      <c r="P492" t="str">
        <f>IF(AND(Table3[[#This Row],[Performance]]&lt;=2,Table3[[#This Row],[Attrition]]="No"),"High Risk","Stable")</f>
        <v>Stable</v>
      </c>
    </row>
    <row r="493" spans="1:16" x14ac:dyDescent="0.25">
      <c r="A493" t="s">
        <v>554</v>
      </c>
      <c r="B493" t="s">
        <v>54</v>
      </c>
      <c r="C493" t="s">
        <v>14</v>
      </c>
      <c r="D493">
        <v>41</v>
      </c>
      <c r="E493" t="s">
        <v>24</v>
      </c>
      <c r="F493" t="s">
        <v>49</v>
      </c>
      <c r="G493">
        <v>63726</v>
      </c>
      <c r="H493">
        <v>7</v>
      </c>
      <c r="I493" s="1">
        <v>44239</v>
      </c>
      <c r="J493">
        <v>2</v>
      </c>
      <c r="K493" t="s">
        <v>42</v>
      </c>
      <c r="L493" t="s">
        <v>43</v>
      </c>
      <c r="M493" t="str">
        <f>IF(Table3[[#This Row],[Age]]&lt;30,"Young",IF(Table3[[#This Row],[Age]]&lt;=40,"Mid","Senior"))</f>
        <v>Senior</v>
      </c>
      <c r="N493" t="str">
        <f>IF(Table3[[#This Row],[Experience]]&lt;3,"Junior",IF(Table3[[#This Row],[Experience]]&lt;=7,"Mid","Senior"))</f>
        <v>Mid</v>
      </c>
      <c r="O493">
        <f>YEAR(Table3[[#This Row],[Joining_Date]])</f>
        <v>2021</v>
      </c>
      <c r="P493" t="str">
        <f>IF(AND(Table3[[#This Row],[Performance]]&lt;=2,Table3[[#This Row],[Attrition]]="No"),"High Risk","Stable")</f>
        <v>Stable</v>
      </c>
    </row>
    <row r="494" spans="1:16" x14ac:dyDescent="0.25">
      <c r="A494" t="s">
        <v>555</v>
      </c>
      <c r="B494" t="s">
        <v>101</v>
      </c>
      <c r="C494" t="s">
        <v>14</v>
      </c>
      <c r="D494">
        <v>34</v>
      </c>
      <c r="E494" t="s">
        <v>24</v>
      </c>
      <c r="F494" t="s">
        <v>124</v>
      </c>
      <c r="G494">
        <v>48899</v>
      </c>
      <c r="H494">
        <v>0</v>
      </c>
      <c r="I494" s="1">
        <v>42146</v>
      </c>
      <c r="J494">
        <v>3</v>
      </c>
      <c r="K494" t="s">
        <v>17</v>
      </c>
      <c r="L494" t="s">
        <v>43</v>
      </c>
      <c r="M494" t="str">
        <f>IF(Table3[[#This Row],[Age]]&lt;30,"Young",IF(Table3[[#This Row],[Age]]&lt;=40,"Mid","Senior"))</f>
        <v>Mid</v>
      </c>
      <c r="N494" t="str">
        <f>IF(Table3[[#This Row],[Experience]]&lt;3,"Junior",IF(Table3[[#This Row],[Experience]]&lt;=7,"Mid","Senior"))</f>
        <v>Junior</v>
      </c>
      <c r="O494">
        <f>YEAR(Table3[[#This Row],[Joining_Date]])</f>
        <v>2015</v>
      </c>
      <c r="P494" t="str">
        <f>IF(AND(Table3[[#This Row],[Performance]]&lt;=2,Table3[[#This Row],[Attrition]]="No"),"High Risk","Stable")</f>
        <v>Stable</v>
      </c>
    </row>
    <row r="495" spans="1:16" x14ac:dyDescent="0.25">
      <c r="A495" t="s">
        <v>556</v>
      </c>
      <c r="B495" t="s">
        <v>56</v>
      </c>
      <c r="C495" t="s">
        <v>21</v>
      </c>
      <c r="D495">
        <v>29</v>
      </c>
      <c r="E495" t="s">
        <v>34</v>
      </c>
      <c r="F495" t="s">
        <v>41</v>
      </c>
      <c r="G495">
        <v>53159</v>
      </c>
      <c r="H495">
        <v>6</v>
      </c>
      <c r="I495" s="1">
        <v>42093</v>
      </c>
      <c r="J495">
        <v>3</v>
      </c>
      <c r="K495" t="s">
        <v>17</v>
      </c>
      <c r="L495" t="s">
        <v>43</v>
      </c>
      <c r="M495" t="str">
        <f>IF(Table3[[#This Row],[Age]]&lt;30,"Young",IF(Table3[[#This Row],[Age]]&lt;=40,"Mid","Senior"))</f>
        <v>Young</v>
      </c>
      <c r="N495" t="str">
        <f>IF(Table3[[#This Row],[Experience]]&lt;3,"Junior",IF(Table3[[#This Row],[Experience]]&lt;=7,"Mid","Senior"))</f>
        <v>Mid</v>
      </c>
      <c r="O495">
        <f>YEAR(Table3[[#This Row],[Joining_Date]])</f>
        <v>2015</v>
      </c>
      <c r="P495" t="str">
        <f>IF(AND(Table3[[#This Row],[Performance]]&lt;=2,Table3[[#This Row],[Attrition]]="No"),"High Risk","Stable")</f>
        <v>Stable</v>
      </c>
    </row>
    <row r="496" spans="1:16" x14ac:dyDescent="0.25">
      <c r="A496" t="s">
        <v>557</v>
      </c>
      <c r="B496" t="s">
        <v>101</v>
      </c>
      <c r="C496" t="s">
        <v>21</v>
      </c>
      <c r="D496">
        <v>33</v>
      </c>
      <c r="E496" t="s">
        <v>34</v>
      </c>
      <c r="F496" t="s">
        <v>35</v>
      </c>
      <c r="G496">
        <v>45267</v>
      </c>
      <c r="H496">
        <v>4</v>
      </c>
      <c r="I496" s="1">
        <v>43090</v>
      </c>
      <c r="J496">
        <v>3</v>
      </c>
      <c r="K496" t="s">
        <v>17</v>
      </c>
      <c r="L496" t="s">
        <v>50</v>
      </c>
      <c r="M496" t="str">
        <f>IF(Table3[[#This Row],[Age]]&lt;30,"Young",IF(Table3[[#This Row],[Age]]&lt;=40,"Mid","Senior"))</f>
        <v>Mid</v>
      </c>
      <c r="N496" t="str">
        <f>IF(Table3[[#This Row],[Experience]]&lt;3,"Junior",IF(Table3[[#This Row],[Experience]]&lt;=7,"Mid","Senior"))</f>
        <v>Mid</v>
      </c>
      <c r="O496">
        <f>YEAR(Table3[[#This Row],[Joining_Date]])</f>
        <v>2017</v>
      </c>
      <c r="P496" t="str">
        <f>IF(AND(Table3[[#This Row],[Performance]]&lt;=2,Table3[[#This Row],[Attrition]]="No"),"High Risk","Stable")</f>
        <v>Stable</v>
      </c>
    </row>
    <row r="497" spans="1:16" x14ac:dyDescent="0.25">
      <c r="A497" t="s">
        <v>558</v>
      </c>
      <c r="B497" t="s">
        <v>60</v>
      </c>
      <c r="C497" t="s">
        <v>14</v>
      </c>
      <c r="D497">
        <v>40</v>
      </c>
      <c r="E497" t="s">
        <v>34</v>
      </c>
      <c r="F497" t="s">
        <v>41</v>
      </c>
      <c r="G497">
        <v>72323</v>
      </c>
      <c r="H497">
        <v>12</v>
      </c>
      <c r="I497" s="1">
        <v>45764</v>
      </c>
      <c r="J497">
        <v>2</v>
      </c>
      <c r="K497" t="s">
        <v>17</v>
      </c>
      <c r="L497" t="s">
        <v>18</v>
      </c>
      <c r="M497" t="str">
        <f>IF(Table3[[#This Row],[Age]]&lt;30,"Young",IF(Table3[[#This Row],[Age]]&lt;=40,"Mid","Senior"))</f>
        <v>Mid</v>
      </c>
      <c r="N497" t="str">
        <f>IF(Table3[[#This Row],[Experience]]&lt;3,"Junior",IF(Table3[[#This Row],[Experience]]&lt;=7,"Mid","Senior"))</f>
        <v>Senior</v>
      </c>
      <c r="O497">
        <f>YEAR(Table3[[#This Row],[Joining_Date]])</f>
        <v>2025</v>
      </c>
      <c r="P497" t="str">
        <f>IF(AND(Table3[[#This Row],[Performance]]&lt;=2,Table3[[#This Row],[Attrition]]="No"),"High Risk","Stable")</f>
        <v>High Risk</v>
      </c>
    </row>
    <row r="498" spans="1:16" x14ac:dyDescent="0.25">
      <c r="A498" t="s">
        <v>559</v>
      </c>
      <c r="B498" t="s">
        <v>27</v>
      </c>
      <c r="C498" t="s">
        <v>21</v>
      </c>
      <c r="D498">
        <v>42</v>
      </c>
      <c r="E498" t="s">
        <v>34</v>
      </c>
      <c r="F498" t="s">
        <v>52</v>
      </c>
      <c r="G498">
        <v>56112</v>
      </c>
      <c r="H498">
        <v>9</v>
      </c>
      <c r="I498" s="1">
        <v>44998</v>
      </c>
      <c r="J498">
        <v>5</v>
      </c>
      <c r="K498" t="s">
        <v>17</v>
      </c>
      <c r="L498" t="s">
        <v>31</v>
      </c>
      <c r="M498" t="str">
        <f>IF(Table3[[#This Row],[Age]]&lt;30,"Young",IF(Table3[[#This Row],[Age]]&lt;=40,"Mid","Senior"))</f>
        <v>Senior</v>
      </c>
      <c r="N498" t="str">
        <f>IF(Table3[[#This Row],[Experience]]&lt;3,"Junior",IF(Table3[[#This Row],[Experience]]&lt;=7,"Mid","Senior"))</f>
        <v>Senior</v>
      </c>
      <c r="O498">
        <f>YEAR(Table3[[#This Row],[Joining_Date]])</f>
        <v>2023</v>
      </c>
      <c r="P498" t="str">
        <f>IF(AND(Table3[[#This Row],[Performance]]&lt;=2,Table3[[#This Row],[Attrition]]="No"),"High Risk","Stable")</f>
        <v>Stable</v>
      </c>
    </row>
    <row r="499" spans="1:16" x14ac:dyDescent="0.25">
      <c r="A499" t="s">
        <v>560</v>
      </c>
      <c r="B499" t="s">
        <v>23</v>
      </c>
      <c r="C499" t="s">
        <v>14</v>
      </c>
      <c r="D499">
        <v>25</v>
      </c>
      <c r="E499" t="s">
        <v>24</v>
      </c>
      <c r="F499" t="s">
        <v>124</v>
      </c>
      <c r="G499">
        <v>59249</v>
      </c>
      <c r="H499">
        <v>4</v>
      </c>
      <c r="I499" s="1">
        <v>44678</v>
      </c>
      <c r="J499">
        <v>5</v>
      </c>
      <c r="K499" t="s">
        <v>17</v>
      </c>
      <c r="L499" t="s">
        <v>39</v>
      </c>
      <c r="M499" t="str">
        <f>IF(Table3[[#This Row],[Age]]&lt;30,"Young",IF(Table3[[#This Row],[Age]]&lt;=40,"Mid","Senior"))</f>
        <v>Young</v>
      </c>
      <c r="N499" t="str">
        <f>IF(Table3[[#This Row],[Experience]]&lt;3,"Junior",IF(Table3[[#This Row],[Experience]]&lt;=7,"Mid","Senior"))</f>
        <v>Mid</v>
      </c>
      <c r="O499">
        <f>YEAR(Table3[[#This Row],[Joining_Date]])</f>
        <v>2022</v>
      </c>
      <c r="P499" t="str">
        <f>IF(AND(Table3[[#This Row],[Performance]]&lt;=2,Table3[[#This Row],[Attrition]]="No"),"High Risk","Stable")</f>
        <v>Stable</v>
      </c>
    </row>
    <row r="500" spans="1:16" x14ac:dyDescent="0.25">
      <c r="A500" t="s">
        <v>561</v>
      </c>
      <c r="B500" t="s">
        <v>199</v>
      </c>
      <c r="C500" t="s">
        <v>14</v>
      </c>
      <c r="D500">
        <v>23</v>
      </c>
      <c r="E500" t="s">
        <v>67</v>
      </c>
      <c r="F500" t="s">
        <v>97</v>
      </c>
      <c r="G500">
        <v>48846</v>
      </c>
      <c r="H500">
        <v>2</v>
      </c>
      <c r="I500" s="1">
        <v>44318</v>
      </c>
      <c r="J500">
        <v>2</v>
      </c>
      <c r="K500" t="s">
        <v>42</v>
      </c>
      <c r="L500" t="s">
        <v>39</v>
      </c>
      <c r="M500" t="str">
        <f>IF(Table3[[#This Row],[Age]]&lt;30,"Young",IF(Table3[[#This Row],[Age]]&lt;=40,"Mid","Senior"))</f>
        <v>Young</v>
      </c>
      <c r="N500" t="str">
        <f>IF(Table3[[#This Row],[Experience]]&lt;3,"Junior",IF(Table3[[#This Row],[Experience]]&lt;=7,"Mid","Senior"))</f>
        <v>Junior</v>
      </c>
      <c r="O500">
        <f>YEAR(Table3[[#This Row],[Joining_Date]])</f>
        <v>2021</v>
      </c>
      <c r="P500" t="str">
        <f>IF(AND(Table3[[#This Row],[Performance]]&lt;=2,Table3[[#This Row],[Attrition]]="No"),"High Risk","Stable")</f>
        <v>Stable</v>
      </c>
    </row>
    <row r="501" spans="1:16" x14ac:dyDescent="0.25">
      <c r="A501" t="s">
        <v>562</v>
      </c>
      <c r="B501" t="s">
        <v>45</v>
      </c>
      <c r="C501" t="s">
        <v>21</v>
      </c>
      <c r="D501">
        <v>36</v>
      </c>
      <c r="E501" t="s">
        <v>34</v>
      </c>
      <c r="F501" t="s">
        <v>74</v>
      </c>
      <c r="G501">
        <v>41638</v>
      </c>
      <c r="H501">
        <v>2</v>
      </c>
      <c r="I501" s="1">
        <v>43774</v>
      </c>
      <c r="J501">
        <v>3</v>
      </c>
      <c r="K501" t="s">
        <v>17</v>
      </c>
      <c r="L501" t="s">
        <v>50</v>
      </c>
      <c r="M501" t="str">
        <f>IF(Table3[[#This Row],[Age]]&lt;30,"Young",IF(Table3[[#This Row],[Age]]&lt;=40,"Mid","Senior"))</f>
        <v>Mid</v>
      </c>
      <c r="N501" t="str">
        <f>IF(Table3[[#This Row],[Experience]]&lt;3,"Junior",IF(Table3[[#This Row],[Experience]]&lt;=7,"Mid","Senior"))</f>
        <v>Junior</v>
      </c>
      <c r="O501">
        <f>YEAR(Table3[[#This Row],[Joining_Date]])</f>
        <v>2019</v>
      </c>
      <c r="P501" t="str">
        <f>IF(AND(Table3[[#This Row],[Performance]]&lt;=2,Table3[[#This Row],[Attrition]]="No"),"High Risk","Stable")</f>
        <v>Stable</v>
      </c>
    </row>
  </sheetData>
  <conditionalFormatting sqref="G1:G501">
    <cfRule type="top10" dxfId="4" priority="2" rank="15"/>
  </conditionalFormatting>
  <conditionalFormatting sqref="J1:J5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501">
    <cfRule type="containsText" dxfId="3" priority="3" operator="containsText" text="High Risk">
      <formula>NOT(ISERROR(SEARCH("High Risk",P1)))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E6F9-9658-42AB-9950-CD68848DB088}">
  <dimension ref="A1:I15"/>
  <sheetViews>
    <sheetView workbookViewId="0">
      <selection activeCell="R22" sqref="R22"/>
    </sheetView>
  </sheetViews>
  <sheetFormatPr defaultRowHeight="15" x14ac:dyDescent="0.25"/>
  <cols>
    <col min="1" max="1" width="13.42578125" bestFit="1" customWidth="1"/>
    <col min="2" max="2" width="16.28515625" bestFit="1" customWidth="1"/>
    <col min="5" max="5" width="13.42578125" bestFit="1" customWidth="1"/>
    <col min="6" max="6" width="13.28515625" bestFit="1" customWidth="1"/>
  </cols>
  <sheetData>
    <row r="1" spans="1:9" x14ac:dyDescent="0.25">
      <c r="A1" s="2" t="s">
        <v>567</v>
      </c>
      <c r="B1" t="s">
        <v>569</v>
      </c>
      <c r="E1" s="2" t="s">
        <v>567</v>
      </c>
      <c r="F1" t="s">
        <v>570</v>
      </c>
    </row>
    <row r="2" spans="1:9" x14ac:dyDescent="0.25">
      <c r="A2" s="3" t="s">
        <v>15</v>
      </c>
      <c r="B2">
        <v>137</v>
      </c>
      <c r="E2" s="3" t="s">
        <v>15</v>
      </c>
      <c r="F2">
        <v>8474567</v>
      </c>
    </row>
    <row r="3" spans="1:9" x14ac:dyDescent="0.25">
      <c r="A3" s="3" t="s">
        <v>24</v>
      </c>
      <c r="B3">
        <v>129</v>
      </c>
      <c r="E3" s="3" t="s">
        <v>24</v>
      </c>
      <c r="F3">
        <v>7541134</v>
      </c>
    </row>
    <row r="4" spans="1:9" x14ac:dyDescent="0.25">
      <c r="A4" s="3" t="s">
        <v>67</v>
      </c>
      <c r="B4">
        <v>126</v>
      </c>
      <c r="E4" s="3" t="s">
        <v>67</v>
      </c>
      <c r="F4">
        <v>7249919</v>
      </c>
    </row>
    <row r="5" spans="1:9" x14ac:dyDescent="0.25">
      <c r="A5" s="3" t="s">
        <v>34</v>
      </c>
      <c r="B5">
        <v>108</v>
      </c>
      <c r="E5" s="3" t="s">
        <v>34</v>
      </c>
      <c r="F5">
        <v>5922217</v>
      </c>
    </row>
    <row r="6" spans="1:9" x14ac:dyDescent="0.25">
      <c r="A6" s="3" t="s">
        <v>568</v>
      </c>
      <c r="B6">
        <v>500</v>
      </c>
      <c r="E6" s="3" t="s">
        <v>568</v>
      </c>
      <c r="F6">
        <v>29187837</v>
      </c>
    </row>
    <row r="8" spans="1:9" x14ac:dyDescent="0.25">
      <c r="A8" s="2" t="s">
        <v>10</v>
      </c>
      <c r="B8" t="s">
        <v>42</v>
      </c>
    </row>
    <row r="9" spans="1:9" x14ac:dyDescent="0.25">
      <c r="I9" t="s">
        <v>583</v>
      </c>
    </row>
    <row r="10" spans="1:9" x14ac:dyDescent="0.25">
      <c r="A10" s="2" t="s">
        <v>567</v>
      </c>
      <c r="B10" t="s">
        <v>569</v>
      </c>
      <c r="E10" s="2" t="s">
        <v>567</v>
      </c>
      <c r="F10" t="s">
        <v>571</v>
      </c>
    </row>
    <row r="11" spans="1:9" x14ac:dyDescent="0.25">
      <c r="A11" s="3" t="s">
        <v>67</v>
      </c>
      <c r="B11">
        <v>31</v>
      </c>
      <c r="E11" s="3" t="s">
        <v>24</v>
      </c>
      <c r="F11" s="4">
        <v>3.1240310077519382</v>
      </c>
    </row>
    <row r="12" spans="1:9" x14ac:dyDescent="0.25">
      <c r="A12" s="3" t="s">
        <v>15</v>
      </c>
      <c r="B12">
        <v>30</v>
      </c>
      <c r="E12" s="3" t="s">
        <v>34</v>
      </c>
      <c r="F12" s="4">
        <v>3.1111111111111112</v>
      </c>
    </row>
    <row r="13" spans="1:9" x14ac:dyDescent="0.25">
      <c r="A13" s="3" t="s">
        <v>24</v>
      </c>
      <c r="B13">
        <v>24</v>
      </c>
      <c r="E13" s="3" t="s">
        <v>67</v>
      </c>
      <c r="F13" s="4">
        <v>3.0714285714285716</v>
      </c>
    </row>
    <row r="14" spans="1:9" x14ac:dyDescent="0.25">
      <c r="A14" s="3" t="s">
        <v>34</v>
      </c>
      <c r="B14">
        <v>18</v>
      </c>
      <c r="E14" s="3" t="s">
        <v>15</v>
      </c>
      <c r="F14" s="4">
        <v>2.9562043795620436</v>
      </c>
    </row>
    <row r="15" spans="1:9" x14ac:dyDescent="0.25">
      <c r="A15" s="3" t="s">
        <v>568</v>
      </c>
      <c r="B15">
        <v>103</v>
      </c>
      <c r="E15" s="3" t="s">
        <v>568</v>
      </c>
      <c r="F15" s="4">
        <v>3.0619999999999998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607C-E5D6-4B94-9969-CBF68D127549}">
  <dimension ref="B1:X26"/>
  <sheetViews>
    <sheetView showGridLines="0" workbookViewId="0">
      <selection activeCell="U10" sqref="U10"/>
    </sheetView>
  </sheetViews>
  <sheetFormatPr defaultRowHeight="15" x14ac:dyDescent="0.25"/>
  <sheetData>
    <row r="1" spans="2:24" ht="19.5" thickBot="1" x14ac:dyDescent="0.35">
      <c r="B1" s="6" t="s">
        <v>572</v>
      </c>
      <c r="E1" s="6" t="s">
        <v>581</v>
      </c>
      <c r="H1" s="6" t="s">
        <v>579</v>
      </c>
      <c r="K1" s="6" t="s">
        <v>582</v>
      </c>
    </row>
    <row r="2" spans="2:24" x14ac:dyDescent="0.25">
      <c r="B2" s="9">
        <f>COUNTA(Table3[Emp_ID])</f>
        <v>500</v>
      </c>
      <c r="C2" s="10"/>
      <c r="E2" s="15">
        <f>ROUND(COUNTIF(Table3[Attrition],"Yes")/COUNTA(Table3[Emp_ID])*100,1)</f>
        <v>20.6</v>
      </c>
      <c r="F2" s="16"/>
      <c r="H2" s="21">
        <f>ROUND(AVERAGE(Table3[Salary]),1)</f>
        <v>58375.7</v>
      </c>
      <c r="I2" s="22"/>
      <c r="K2" s="27">
        <f>ROUND(AVERAGE(Table3[Performance]),1)</f>
        <v>3.1</v>
      </c>
      <c r="L2" s="28"/>
    </row>
    <row r="3" spans="2:24" x14ac:dyDescent="0.25">
      <c r="B3" s="11"/>
      <c r="C3" s="12"/>
      <c r="E3" s="17"/>
      <c r="F3" s="18"/>
      <c r="H3" s="23"/>
      <c r="I3" s="24"/>
      <c r="K3" s="29"/>
      <c r="L3" s="30"/>
    </row>
    <row r="4" spans="2:24" ht="15.75" thickBot="1" x14ac:dyDescent="0.3">
      <c r="B4" s="13"/>
      <c r="C4" s="14"/>
      <c r="E4" s="19"/>
      <c r="F4" s="20"/>
      <c r="H4" s="25"/>
      <c r="I4" s="26"/>
      <c r="K4" s="31"/>
      <c r="L4" s="32"/>
    </row>
    <row r="12" spans="2:24" x14ac:dyDescent="0.25">
      <c r="X12" t="s">
        <v>585</v>
      </c>
    </row>
    <row r="16" spans="2:24" x14ac:dyDescent="0.25">
      <c r="T16" s="5"/>
    </row>
    <row r="26" spans="21:21" x14ac:dyDescent="0.25">
      <c r="U26" t="s">
        <v>584</v>
      </c>
    </row>
  </sheetData>
  <mergeCells count="4">
    <mergeCell ref="B2:C4"/>
    <mergeCell ref="E2:F4"/>
    <mergeCell ref="H2:I4"/>
    <mergeCell ref="K2:L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A57-C2BC-4858-8857-D44D98376024}">
  <dimension ref="A1:C16"/>
  <sheetViews>
    <sheetView workbookViewId="0">
      <selection activeCell="H9" sqref="H9"/>
    </sheetView>
  </sheetViews>
  <sheetFormatPr defaultRowHeight="15" x14ac:dyDescent="0.25"/>
  <cols>
    <col min="1" max="1" width="22.28515625" customWidth="1"/>
    <col min="2" max="2" width="14.85546875" customWidth="1"/>
  </cols>
  <sheetData>
    <row r="1" spans="1:3" ht="18.75" x14ac:dyDescent="0.3">
      <c r="A1" s="33" t="s">
        <v>586</v>
      </c>
      <c r="B1" s="34"/>
      <c r="C1" s="34"/>
    </row>
    <row r="2" spans="1:3" x14ac:dyDescent="0.25">
      <c r="A2" s="5" t="s">
        <v>573</v>
      </c>
      <c r="B2" s="7" t="s">
        <v>53</v>
      </c>
      <c r="C2" t="s">
        <v>589</v>
      </c>
    </row>
    <row r="3" spans="1:3" x14ac:dyDescent="0.25">
      <c r="A3" s="5" t="s">
        <v>574</v>
      </c>
      <c r="B3">
        <f>_xlfn.XLOOKUP(B2,Table3[Emp_ID],Table3[Salary],"Not Found")</f>
        <v>57123</v>
      </c>
    </row>
    <row r="4" spans="1:3" x14ac:dyDescent="0.25">
      <c r="A4" s="5" t="s">
        <v>575</v>
      </c>
      <c r="B4" t="str">
        <f>VLOOKUP(B2,Table3[[Emp_ID]:[Department]],5,FALSE)</f>
        <v>IT</v>
      </c>
    </row>
    <row r="5" spans="1:3" x14ac:dyDescent="0.25">
      <c r="A5" s="5" t="s">
        <v>580</v>
      </c>
      <c r="B5">
        <f>IFERROR(_xlfn.XLOOKUP(B2,Table3[Emp_ID],Table3[Salary]),"Invalid ID")</f>
        <v>57123</v>
      </c>
    </row>
    <row r="8" spans="1:3" ht="18.75" x14ac:dyDescent="0.3">
      <c r="A8" s="35" t="s">
        <v>587</v>
      </c>
      <c r="B8" s="36"/>
      <c r="C8" s="36"/>
    </row>
    <row r="9" spans="1:3" x14ac:dyDescent="0.25">
      <c r="A9" s="5" t="s">
        <v>576</v>
      </c>
      <c r="B9" s="8" t="s">
        <v>34</v>
      </c>
      <c r="C9" t="s">
        <v>591</v>
      </c>
    </row>
    <row r="10" spans="1:3" x14ac:dyDescent="0.25">
      <c r="A10" s="5" t="s">
        <v>577</v>
      </c>
      <c r="B10">
        <f>SUMIF(Table3[Department],B9,Table3[Salary])</f>
        <v>5922217</v>
      </c>
    </row>
    <row r="11" spans="1:3" x14ac:dyDescent="0.25">
      <c r="A11" s="5" t="s">
        <v>578</v>
      </c>
      <c r="B11">
        <f>COUNTIFS(Table3[Department],B9,Table3[Performance],"&gt;=4")</f>
        <v>48</v>
      </c>
    </row>
    <row r="12" spans="1:3" x14ac:dyDescent="0.25">
      <c r="A12" s="5" t="s">
        <v>579</v>
      </c>
      <c r="B12">
        <f>ROUND(AVERAGEIFS(Table3[Salary],Table3[Department],B9),1)</f>
        <v>54835.3</v>
      </c>
    </row>
    <row r="15" spans="1:3" ht="18.75" x14ac:dyDescent="0.3">
      <c r="A15" s="37" t="s">
        <v>588</v>
      </c>
      <c r="B15" s="38"/>
      <c r="C15" s="38"/>
    </row>
    <row r="16" spans="1:3" x14ac:dyDescent="0.25">
      <c r="A16" t="s">
        <v>590</v>
      </c>
    </row>
  </sheetData>
  <mergeCells count="3">
    <mergeCell ref="A1:C1"/>
    <mergeCell ref="A8:C8"/>
    <mergeCell ref="A15:C15"/>
  </mergeCells>
  <conditionalFormatting sqref="B2">
    <cfRule type="containsText" dxfId="2" priority="1" operator="containsText" text="Invalid">
      <formula>NOT(ISERROR(SEARCH("Invalid",B2)))</formula>
    </cfRule>
  </conditionalFormatting>
  <conditionalFormatting sqref="B11">
    <cfRule type="cellIs" dxfId="1" priority="2" operator="lessThan">
      <formula>20</formula>
    </cfRule>
  </conditionalFormatting>
  <conditionalFormatting sqref="B12">
    <cfRule type="cellIs" dxfId="0" priority="3" operator="greaterThan">
      <formula>55000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Raw_Data</vt:lpstr>
      <vt:lpstr>Pivot_Tables</vt:lpstr>
      <vt:lpstr>Dasboard</vt:lpstr>
      <vt:lpstr>Formula_Sheet</vt:lpstr>
      <vt:lpstr>HR_Data</vt:lpstr>
      <vt:lpstr>HRData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Taqi Uddin</dc:creator>
  <cp:lastModifiedBy>en8vm</cp:lastModifiedBy>
  <dcterms:created xsi:type="dcterms:W3CDTF">2026-04-21T09:13:19Z</dcterms:created>
  <dcterms:modified xsi:type="dcterms:W3CDTF">2026-04-22T07:30:12Z</dcterms:modified>
</cp:coreProperties>
</file>